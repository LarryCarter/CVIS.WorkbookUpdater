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tables/table3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8f38ff698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Frame" sheetId="1" r:id="Rb0fd74300aee4ecc"/>
    <x:sheet xmlns:r="http://schemas.openxmlformats.org/officeDocument/2006/relationships" name="Data Intake" sheetId="2" r:id="Rcf72e844e2e44d16"/>
    <x:sheet xmlns:r="http://schemas.openxmlformats.org/officeDocument/2006/relationships" name="Import Mapping" sheetId="3" r:id="R14b8120b034a4ee9"/>
    <x:sheet xmlns:r="http://schemas.openxmlformats.org/officeDocument/2006/relationships" name="Update Rules" sheetId="4" r:id="R34a74dd91bc142e9"/>
    <x:sheet xmlns:r="http://schemas.openxmlformats.org/officeDocument/2006/relationships" name="Change Log" sheetId="5" r:id="Rc5c929f4315a49a2"/>
    <x:sheet xmlns:r="http://schemas.openxmlformats.org/officeDocument/2006/relationships" name="Action Plan" sheetId="6" r:id="R24d81ac36f6845fe"/>
    <x:sheet xmlns:r="http://schemas.openxmlformats.org/officeDocument/2006/relationships" name="Application Inventory" sheetId="7" r:id="R354bb78a375f4b10"/>
    <x:sheet xmlns:r="http://schemas.openxmlformats.org/officeDocument/2006/relationships" name="Dependencies" sheetId="8" r:id="Rfc1ef66c1a8e4c91"/>
    <x:sheet xmlns:r="http://schemas.openxmlformats.org/officeDocument/2006/relationships" name="Milestones" sheetId="9" r:id="R7482010756084577"/>
    <x:sheet xmlns:r="http://schemas.openxmlformats.org/officeDocument/2006/relationships" name="Sprint Calendar" sheetId="10" r:id="R56b9c7d90fb047fe"/>
    <x:sheet xmlns:r="http://schemas.openxmlformats.org/officeDocument/2006/relationships" name="Executive Dates" sheetId="11" r:id="R0994240db74c4cac"/>
    <x:sheet xmlns:r="http://schemas.openxmlformats.org/officeDocument/2006/relationships" name="NGDC Environments" sheetId="12" r:id="Re4f0cc1be3774435"/>
    <x:sheet xmlns:r="http://schemas.openxmlformats.org/officeDocument/2006/relationships" name="Sprint Deliverables" sheetId="13" r:id="Rf857f5ce37b54228"/>
    <x:sheet xmlns:r="http://schemas.openxmlformats.org/officeDocument/2006/relationships" name="Schedule Dependencies" sheetId="14" r:id="R2ac2e9071f724776"/>
    <x:sheet xmlns:r="http://schemas.openxmlformats.org/officeDocument/2006/relationships" name="Platform Onboarding" sheetId="15" r:id="Rc53a84e36b8448b0"/>
    <x:sheet xmlns:r="http://schemas.openxmlformats.org/officeDocument/2006/relationships" name="Execution Order" sheetId="16" r:id="R2682ef97f6cb45b3"/>
    <x:sheet xmlns:r="http://schemas.openxmlformats.org/officeDocument/2006/relationships" name="Recovery Language" sheetId="17" r:id="R20d2db85165d4698"/>
    <x:sheet xmlns:r="http://schemas.openxmlformats.org/officeDocument/2006/relationships" name="Risks Blockers Owners" sheetId="18" r:id="R28582df738cb46c5"/>
    <x:sheet xmlns:r="http://schemas.openxmlformats.org/officeDocument/2006/relationships" name="At-Risk Register" sheetId="19" r:id="R68123198cb2a42e3"/>
    <x:sheet xmlns:r="http://schemas.openxmlformats.org/officeDocument/2006/relationships" name="Jira Coverage" sheetId="20" r:id="Rede02165391744eb"/>
    <x:sheet xmlns:r="http://schemas.openxmlformats.org/officeDocument/2006/relationships" name="Ticket Gaps" sheetId="21" r:id="R014ac16700cd4493"/>
    <x:sheet xmlns:r="http://schemas.openxmlformats.org/officeDocument/2006/relationships" name="Brad Readiness" sheetId="22" r:id="Re80e96ec91f0465b"/>
    <x:sheet xmlns:r="http://schemas.openxmlformats.org/officeDocument/2006/relationships" name="Modernization Platform" sheetId="23" r:id="R423b18d3295242df"/>
    <x:sheet xmlns:r="http://schemas.openxmlformats.org/officeDocument/2006/relationships" name="Key Takeaways" sheetId="24" r:id="Ref1b6dd54e4847a8"/>
    <x:sheet xmlns:r="http://schemas.openxmlformats.org/officeDocument/2006/relationships" name="Delivery Tasks" sheetId="25" r:id="Rad02b1a8cf944ad7"/>
    <x:sheet xmlns:r="http://schemas.openxmlformats.org/officeDocument/2006/relationships" name="NFRs" sheetId="26" r:id="Rde277dc3a7d64fbd"/>
    <x:sheet xmlns:r="http://schemas.openxmlformats.org/officeDocument/2006/relationships" name="Dev Tasks" sheetId="27" r:id="R1e0f03e3f7574490"/>
    <x:sheet xmlns:r="http://schemas.openxmlformats.org/officeDocument/2006/relationships" name="Team Members" sheetId="28" r:id="R84977608508b4c04"/>
    <x:sheet xmlns:r="http://schemas.openxmlformats.org/officeDocument/2006/relationships" name="Heritage" sheetId="29" r:id="R1cef99b57ff04a0f"/>
    <x:sheet xmlns:r="http://schemas.openxmlformats.org/officeDocument/2006/relationships" name="NH Accounts" sheetId="30" r:id="R88f6005d23944c11"/>
    <x:sheet xmlns:r="http://schemas.openxmlformats.org/officeDocument/2006/relationships" name="Reference" sheetId="31" r:id="R1f2b7cf5449a4111"/>
    <x:sheet xmlns:r="http://schemas.openxmlformats.org/officeDocument/2006/relationships" name="Integrations" sheetId="32" r:id="R878e4ea167b3436e"/>
    <x:sheet xmlns:r="http://schemas.openxmlformats.org/officeDocument/2006/relationships" name="Integration Updates" sheetId="33" r:id="R2e499757b4a243e3"/>
    <x:sheet xmlns:r="http://schemas.openxmlformats.org/officeDocument/2006/relationships" name="Assumptions" sheetId="34" r:id="Rcc70bf98047849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yyyy-mm-dd hh:mm"/>
    <x:numFmt numFmtId="203" formatCode="0%"/>
    <x:numFmt numFmtId="204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3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b/>
      <x:sz val="14"/>
      <x:color rgb="FF1F29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FB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8E2EA"/>
      </x:left>
      <x:right style="thin">
        <x:color rgb="FFD8E2EA"/>
      </x:right>
      <x:top style="thin">
        <x:color rgb="FFD8E2EA"/>
      </x:top>
      <x:bottom style="thin">
        <x:color rgb="FFD8E2EA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3" fontId="0" fillId="0" borderId="2" xfId="0" applyNumberFormat="1" applyFont="1" applyFill="1" applyBorder="1" applyAlignment="1">
      <x:alignment vertical="top" wrapText="1"/>
    </x:xf>
    <x:xf numFmtId="204" fontId="0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201" fontId="5" fillId="4" borderId="1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/>
    <x:xf numFmtId="200" fontId="0" fillId="0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201" fontId="5" fillId="4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/>
    </x:xf>
  </x:cellXfs>
  <x:cellStyles count="1">
    <x:cellStyle name="Normal" xfId="0"/>
  </x:cellStyles>
  <x:dxfs count="117"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CE4D6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CE4D6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CE4D6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CE4D6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CE4D6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CE4D6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CE4D6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CE4D6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CE4D6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1F4E1F"/>
      </x:font>
      <x:fill>
        <x:patternFill patternType="solid">
          <x:bgColor rgb="FFD9EAD3"/>
        </x:patternFill>
      </x:fill>
    </x:dxf>
    <x:dxf>
      <x:font>
        <x:b/>
        <x:color rgb="FF7F1D1D"/>
      </x:font>
      <x:fill>
        <x:patternFill patternType="solid">
          <x:bgColor rgb="FFF4CCCC"/>
        </x:patternFill>
      </x:fill>
    </x:dxf>
    <x:dxf>
      <x:font>
        <x:b/>
        <x:color rgb="FF7A52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6d4e714d454151" /><Relationship Type="http://schemas.openxmlformats.org/officeDocument/2006/relationships/theme" Target="/xl/theme/theme1.xml" Id="R4ccecfaf399e45f6" /><Relationship Type="http://schemas.openxmlformats.org/officeDocument/2006/relationships/sharedStrings" Target="/xl/sharedStrings.xml" Id="R4979bb754543419d" /><Relationship Type="http://schemas.openxmlformats.org/officeDocument/2006/relationships/worksheet" Target="/xl/worksheets/sheet1.xml" Id="Rb0fd74300aee4ecc" /><Relationship Type="http://schemas.openxmlformats.org/officeDocument/2006/relationships/worksheet" Target="/xl/worksheets/sheet2.xml" Id="Rcf72e844e2e44d16" /><Relationship Type="http://schemas.openxmlformats.org/officeDocument/2006/relationships/worksheet" Target="/xl/worksheets/sheet3.xml" Id="R14b8120b034a4ee9" /><Relationship Type="http://schemas.openxmlformats.org/officeDocument/2006/relationships/worksheet" Target="/xl/worksheets/sheet4.xml" Id="R34a74dd91bc142e9" /><Relationship Type="http://schemas.openxmlformats.org/officeDocument/2006/relationships/worksheet" Target="/xl/worksheets/sheet5.xml" Id="Rc5c929f4315a49a2" /><Relationship Type="http://schemas.openxmlformats.org/officeDocument/2006/relationships/worksheet" Target="/xl/worksheets/sheet6.xml" Id="R24d81ac36f6845fe" /><Relationship Type="http://schemas.openxmlformats.org/officeDocument/2006/relationships/worksheet" Target="/xl/worksheets/sheet7.xml" Id="R354bb78a375f4b10" /><Relationship Type="http://schemas.openxmlformats.org/officeDocument/2006/relationships/worksheet" Target="/xl/worksheets/sheet8.xml" Id="Rfc1ef66c1a8e4c91" /><Relationship Type="http://schemas.openxmlformats.org/officeDocument/2006/relationships/worksheet" Target="/xl/worksheets/sheet9.xml" Id="R7482010756084577" /><Relationship Type="http://schemas.openxmlformats.org/officeDocument/2006/relationships/worksheet" Target="/xl/worksheets/sheet10.xml" Id="R56b9c7d90fb047fe" /><Relationship Type="http://schemas.openxmlformats.org/officeDocument/2006/relationships/worksheet" Target="/xl/worksheets/sheet11.xml" Id="R0994240db74c4cac" /><Relationship Type="http://schemas.openxmlformats.org/officeDocument/2006/relationships/worksheet" Target="/xl/worksheets/sheet12.xml" Id="Re4f0cc1be3774435" /><Relationship Type="http://schemas.openxmlformats.org/officeDocument/2006/relationships/worksheet" Target="/xl/worksheets/sheet13.xml" Id="Rf857f5ce37b54228" /><Relationship Type="http://schemas.openxmlformats.org/officeDocument/2006/relationships/worksheet" Target="/xl/worksheets/sheet14.xml" Id="R2ac2e9071f724776" /><Relationship Type="http://schemas.openxmlformats.org/officeDocument/2006/relationships/worksheet" Target="/xl/worksheets/sheet15.xml" Id="Rc53a84e36b8448b0" /><Relationship Type="http://schemas.openxmlformats.org/officeDocument/2006/relationships/worksheet" Target="/xl/worksheets/sheet16.xml" Id="R2682ef97f6cb45b3" /><Relationship Type="http://schemas.openxmlformats.org/officeDocument/2006/relationships/worksheet" Target="/xl/worksheets/sheet17.xml" Id="R20d2db85165d4698" /><Relationship Type="http://schemas.openxmlformats.org/officeDocument/2006/relationships/worksheet" Target="/xl/worksheets/sheet18.xml" Id="R28582df738cb46c5" /><Relationship Type="http://schemas.openxmlformats.org/officeDocument/2006/relationships/worksheet" Target="/xl/worksheets/sheet19.xml" Id="R68123198cb2a42e3" /><Relationship Type="http://schemas.openxmlformats.org/officeDocument/2006/relationships/worksheet" Target="/xl/worksheets/sheet20.xml" Id="Rede02165391744eb" /><Relationship Type="http://schemas.openxmlformats.org/officeDocument/2006/relationships/worksheet" Target="/xl/worksheets/sheet21.xml" Id="R014ac16700cd4493" /><Relationship Type="http://schemas.openxmlformats.org/officeDocument/2006/relationships/worksheet" Target="/xl/worksheets/sheet22.xml" Id="Re80e96ec91f0465b" /><Relationship Type="http://schemas.openxmlformats.org/officeDocument/2006/relationships/worksheet" Target="/xl/worksheets/sheet23.xml" Id="R423b18d3295242df" /><Relationship Type="http://schemas.openxmlformats.org/officeDocument/2006/relationships/worksheet" Target="/xl/worksheets/sheet24.xml" Id="Ref1b6dd54e4847a8" /><Relationship Type="http://schemas.openxmlformats.org/officeDocument/2006/relationships/worksheet" Target="/xl/worksheets/sheet25.xml" Id="Rad02b1a8cf944ad7" /><Relationship Type="http://schemas.openxmlformats.org/officeDocument/2006/relationships/worksheet" Target="/xl/worksheets/sheet26.xml" Id="Rde277dc3a7d64fbd" /><Relationship Type="http://schemas.openxmlformats.org/officeDocument/2006/relationships/worksheet" Target="/xl/worksheets/sheet27.xml" Id="R1e0f03e3f7574490" /><Relationship Type="http://schemas.openxmlformats.org/officeDocument/2006/relationships/worksheet" Target="/xl/worksheets/sheet28.xml" Id="R84977608508b4c04" /><Relationship Type="http://schemas.openxmlformats.org/officeDocument/2006/relationships/worksheet" Target="/xl/worksheets/sheet29.xml" Id="R1cef99b57ff04a0f" /><Relationship Type="http://schemas.openxmlformats.org/officeDocument/2006/relationships/worksheet" Target="/xl/worksheets/sheet30.xml" Id="R88f6005d23944c11" /><Relationship Type="http://schemas.openxmlformats.org/officeDocument/2006/relationships/worksheet" Target="/xl/worksheets/sheet31.xml" Id="R1f2b7cf5449a4111" /><Relationship Type="http://schemas.openxmlformats.org/officeDocument/2006/relationships/worksheet" Target="/xl/worksheets/sheet32.xml" Id="R878e4ea167b3436e" /><Relationship Type="http://schemas.openxmlformats.org/officeDocument/2006/relationships/worksheet" Target="/xl/worksheets/sheet33.xml" Id="R2e499757b4a243e3" /><Relationship Type="http://schemas.openxmlformats.org/officeDocument/2006/relationships/worksheet" Target="/xl/worksheets/sheet34.xml" Id="Rcc70bf9804784999" /></Relationships>
</file>

<file path=xl/tables/table1.xml><?xml version="1.0" encoding="utf-8"?>
<x:table xmlns:x="http://schemas.openxmlformats.org/spreadsheetml/2006/main" id="3" name="DataIntakeTable" displayName="DataIntakeTable" ref="A4:P104" headerRowCount="1" totalsRowCount="0" totalsRowShown="0">
  <x:tableColumns count="16">
    <x:tableColumn id="1" name="Intake ID"/>
    <x:tableColumn id="2" name="Submitted Date"/>
    <x:tableColumn id="3" name="Submitted By"/>
    <x:tableColumn id="4" name="Update Type"/>
    <x:tableColumn id="5" name="Target Table"/>
    <x:tableColumn id="6" name="Record Key Field"/>
    <x:tableColumn id="7" name="Record Key Value"/>
    <x:tableColumn id="8" name="Field To Update"/>
    <x:tableColumn id="9" name="New Value"/>
    <x:tableColumn id="10" name="Effective Date"/>
    <x:tableColumn id="11" name="Source File"/>
    <x:tableColumn id="12" name="Source Row"/>
    <x:tableColumn id="13" name="Review Status"/>
    <x:tableColumn id="14" name="Reviewed By"/>
    <x:tableColumn id="15" name="Applied Date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ImportMappingTable" displayName="ImportMappingTable" ref="A4:J36" headerRowCount="1" totalsRowCount="0" totalsRowShown="0">
  <x:tableColumns count="10">
    <x:tableColumn id="1" name="Mapping Profile"/>
    <x:tableColumn id="2" name="Source Type"/>
    <x:tableColumn id="3" name="Target Table"/>
    <x:tableColumn id="4" name="Source Field"/>
    <x:tableColumn id="5" name="Target Field"/>
    <x:tableColumn id="6" name="Required?"/>
    <x:tableColumn id="7" name="Match Key?"/>
    <x:tableColumn id="8" name="Transform Rule"/>
    <x:tableColumn id="9" name="Default Value"/>
    <x:tableColumn id="1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UpdateRulesTable" displayName="UpdateRulesTable" ref="A4:I12" headerRowCount="1" totalsRowCount="0" totalsRowShown="0">
  <x:tableColumns count="9">
    <x:tableColumn id="1" name="Target Table"/>
    <x:tableColumn id="2" name="Primary Match Key"/>
    <x:tableColumn id="3" name="Alternate Match Key"/>
    <x:tableColumn id="4" name="Required Fields"/>
    <x:tableColumn id="5" name="Feeds These Views"/>
    <x:tableColumn id="6" name="Do Not Edit Directly"/>
    <x:tableColumn id="7" name="Conflict Rule"/>
    <x:tableColumn id="8" name="WPF Behavior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ChangeLogTable" displayName="ChangeLogTable" ref="A4:K104" headerRowCount="1" totalsRowCount="0" totalsRowShown="0">
  <x:tableColumns count="11">
    <x:tableColumn id="1" name="Change ID"/>
    <x:tableColumn id="2" name="Timestamp"/>
    <x:tableColumn id="3" name="Changed By"/>
    <x:tableColumn id="4" name="Target Table"/>
    <x:tableColumn id="5" name="Record Key"/>
    <x:tableColumn id="6" name="Field"/>
    <x:tableColumn id="7" name="Old Value"/>
    <x:tableColumn id="8" name="New Value"/>
    <x:tableColumn id="9" name="Source"/>
    <x:tableColumn id="10" name="Review Status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ActionPlanTable" displayName="ActionPlanTable" ref="A4:V104" headerRowCount="1" totalsRowCount="0" totalsRowShown="0">
  <x:tableColumns count="22">
    <x:tableColumn id="1" name="ID"/>
    <x:tableColumn id="2" name="Workstream"/>
    <x:tableColumn id="3" name="Task Type"/>
    <x:tableColumn id="4" name="Task Name"/>
    <x:tableColumn id="5" name="Owner"/>
    <x:tableColumn id="6" name="Supporting Team"/>
    <x:tableColumn id="7" name="Start Date"/>
    <x:tableColumn id="8" name="Complexity"/>
    <x:tableColumn id="9" name="Est Business Days"/>
    <x:tableColumn id="10" name="Estimated Finish"/>
    <x:tableColumn id="11" name="Need-By Date"/>
    <x:tableColumn id="12" name="Actual Finish"/>
    <x:tableColumn id="13" name="Variance Days"/>
    <x:tableColumn id="14" name="Status"/>
    <x:tableColumn id="15" name="% Complete"/>
    <x:tableColumn id="16" name="Dependency Type"/>
    <x:tableColumn id="17" name="Dependency ID"/>
    <x:tableColumn id="18" name="Jira Link"/>
    <x:tableColumn id="19" name="Next Action"/>
    <x:tableColumn id="20" name="Risk If Delayed"/>
    <x:tableColumn id="21" name="Recovery Action"/>
    <x:tableColumn id="22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ApplicationInventoryTable" displayName="ApplicationInventoryTable" ref="A4:V46" headerRowCount="1" totalsRowCount="0" totalsRowShown="0">
  <x:tableColumns count="22">
    <x:tableColumn id="1" name="Source Row"/>
    <x:tableColumn id="2" name="App ID"/>
    <x:tableColumn id="3" name="Application / Tool"/>
    <x:tableColumn id="4" name="Active"/>
    <x:tableColumn id="5" name="App Type"/>
    <x:tableColumn id="6" name="Current Solution"/>
    <x:tableColumn id="7" name="Business Function"/>
    <x:tableColumn id="8" name="Primary Users / Team"/>
    <x:tableColumn id="9" name="Customer / Internal"/>
    <x:tableColumn id="10" name="CyberArk API"/>
    <x:tableColumn id="11" name="Target Disposition"/>
    <x:tableColumn id="12" name="Phase"/>
    <x:tableColumn id="13" name="Priority"/>
    <x:tableColumn id="14" name="Complexity"/>
    <x:tableColumn id="15" name="Risk"/>
    <x:tableColumn id="16" name="Migration Size"/>
    <x:tableColumn id="17" name="Est Migration Days"/>
    <x:tableColumn id="18" name="Jira"/>
    <x:tableColumn id="19" name="Owner"/>
    <x:tableColumn id="20" name="Discovery Status"/>
    <x:tableColumn id="21" name="Date Confidence"/>
    <x:tableColumn id="22" name="Evidence /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DependencyRegisterTable" displayName="DependencyRegisterTable" ref="A4:P54" headerRowCount="1" totalsRowCount="0" totalsRowShown="0">
  <x:tableColumns count="16">
    <x:tableColumn id="1" name="Dependency ID"/>
    <x:tableColumn id="2" name="Dependency"/>
    <x:tableColumn id="3" name="Dependency Type"/>
    <x:tableColumn id="4" name="Owning Team"/>
    <x:tableColumn id="5" name="Needed For"/>
    <x:tableColumn id="6" name="CVIS Owner"/>
    <x:tableColumn id="7" name="Request Status"/>
    <x:tableColumn id="8" name="Submitted Date"/>
    <x:tableColumn id="9" name="Needed By"/>
    <x:tableColumn id="10" name="Expected Lead Days"/>
    <x:tableColumn id="11" name="Forecast Completion"/>
    <x:tableColumn id="12" name="Current Status"/>
    <x:tableColumn id="13" name="Days Until Needed"/>
    <x:tableColumn id="14" name="Impact If Late"/>
    <x:tableColumn id="15" name="Escalation Date"/>
    <x:tableColumn id="16" name="Escalation Needed?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MilestonesTable" displayName="MilestonesTable" ref="A4:J54" headerRowCount="1" totalsRowCount="0" totalsRowShown="0">
  <x:tableColumns count="10">
    <x:tableColumn id="1" name="Milestone"/>
    <x:tableColumn id="2" name="Workstream"/>
    <x:tableColumn id="3" name="Target Date"/>
    <x:tableColumn id="4" name="Forecast Date"/>
    <x:tableColumn id="5" name="Status"/>
    <x:tableColumn id="6" name="Exit Criteria"/>
    <x:tableColumn id="7" name="Dependency ID"/>
    <x:tableColumn id="8" name="Owner"/>
    <x:tableColumn id="9" name="RAG"/>
    <x:tableColumn id="10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1" name="SprintCalendarTable" displayName="SprintCalendarTable" ref="A4:E31" headerRowCount="1" totalsRowCount="0" totalsRowShown="0">
  <x:tableColumns count="5">
    <x:tableColumn id="1" name="Sprint"/>
    <x:tableColumn id="2" name="Start Date"/>
    <x:tableColumn id="3" name="End Date"/>
    <x:tableColumn id="4" name="Sprint Window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2" name="ExecutiveDatesTable" displayName="ExecutiveDatesTable" ref="A4:G24" headerRowCount="1" totalsRowCount="0" totalsRowShown="0">
  <x:tableColumns count="7">
    <x:tableColumn id="1" name="Item"/>
    <x:tableColumn id="2" name="Date / Sprint"/>
    <x:tableColumn id="3" name="Owner"/>
    <x:tableColumn id="4" name="Dependency"/>
    <x:tableColumn id="5" name="Confidence"/>
    <x:tableColumn id="6" name="Source Quote"/>
    <x:tableColumn id="7" name="Source Ref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3" name="NgdcEnvironmentsTable" displayName="NgdcEnvironmentsTable" ref="A4:G24" headerRowCount="1" totalsRowCount="0" totalsRowShown="0">
  <x:tableColumns count="7">
    <x:tableColumn id="1" name="Item"/>
    <x:tableColumn id="2" name="Date / Sprint"/>
    <x:tableColumn id="3" name="Owner"/>
    <x:tableColumn id="4" name="Dependency"/>
    <x:tableColumn id="5" name="Confidence"/>
    <x:tableColumn id="6" name="Source Quote"/>
    <x:tableColumn id="7" name="Source Ref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4" name="SprintDeliverablesTable" displayName="SprintDeliverablesTable" ref="A4:D24" headerRowCount="1" totalsRowCount="0" totalsRowShown="0">
  <x:tableColumns count="4">
    <x:tableColumn id="1" name="Sprint"/>
    <x:tableColumn id="2" name="Deliverable"/>
    <x:tableColumn id="3" name="Confidence"/>
    <x:tableColumn id="4" name="Source Ref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5" name="ScheduleDependenciesTable" displayName="ScheduleDependenciesTable" ref="A4:E24" headerRowCount="1" totalsRowCount="0" totalsRowShown="0">
  <x:tableColumns count="5">
    <x:tableColumn id="1" name="Dependency"/>
    <x:tableColumn id="2" name="Mentioned For"/>
    <x:tableColumn id="3" name="Confidence"/>
    <x:tableColumn id="4" name="Source Quote / Note"/>
    <x:tableColumn id="5" name="Source Ref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6" name="PlatformOnboardingTable" displayName="PlatformOnboardingTable" ref="A4:L110" headerRowCount="1" totalsRowCount="0" totalsRowShown="0">
  <x:tableColumns count="12">
    <x:tableColumn id="1" name="Platform"/>
    <x:tableColumn id="2" name="Phase"/>
    <x:tableColumn id="3" name="Task"/>
    <x:tableColumn id="4" name="Environment"/>
    <x:tableColumn id="5" name="Owner"/>
    <x:tableColumn id="6" name="Dependency ID"/>
    <x:tableColumn id="7" name="Request / Jira"/>
    <x:tableColumn id="8" name="Status"/>
    <x:tableColumn id="9" name="Priority"/>
    <x:tableColumn id="10" name="Est Days Min"/>
    <x:tableColumn id="11" name="Est Days Max"/>
    <x:tableColumn id="12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7" name="ExecutionOrderTable" displayName="ExecutionOrderTable" ref="A4:G23" headerRowCount="1" totalsRowCount="0" totalsRowShown="0">
  <x:tableColumns count="7">
    <x:tableColumn id="1" name="Priority"/>
    <x:tableColumn id="2" name="Task"/>
    <x:tableColumn id="3" name="Platform"/>
    <x:tableColumn id="4" name="Dependency ID"/>
    <x:tableColumn id="5" name="Status"/>
    <x:tableColumn id="6" name="Owner"/>
    <x:tableColumn id="7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8" name="RecoveryLanguageTable" displayName="RecoveryLanguageTable" ref="A4:G24" headerRowCount="1" totalsRowCount="0" totalsRowShown="0">
  <x:tableColumns count="7">
    <x:tableColumn id="1" name="Topic"/>
    <x:tableColumn id="2" name="Date / Sprint"/>
    <x:tableColumn id="3" name="Owner"/>
    <x:tableColumn id="4" name="Dependency"/>
    <x:tableColumn id="5" name="Confidence"/>
    <x:tableColumn id="6" name="Source Quote"/>
    <x:tableColumn id="7" name="Source Ref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9" name="RisksBlockersOwnersTable" displayName="RisksBlockersOwnersTable" ref="A4:G24" headerRowCount="1" totalsRowCount="0" totalsRowShown="0">
  <x:tableColumns count="7">
    <x:tableColumn id="1" name="Risk / Blocker"/>
    <x:tableColumn id="2" name="Date / Sprint"/>
    <x:tableColumn id="3" name="Owner"/>
    <x:tableColumn id="4" name="Dependency"/>
    <x:tableColumn id="5" name="Confidence"/>
    <x:tableColumn id="6" name="Source Quote / Note"/>
    <x:tableColumn id="7" name="Source Ref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20" name="AtRiskRegisterTable" displayName="AtRiskRegisterTable" ref="A4:M24" headerRowCount="1" totalsRowCount="0" totalsRowShown="0">
  <x:tableColumns count="13">
    <x:tableColumn id="1" name="Item"/>
    <x:tableColumn id="2" name="Current RYG"/>
    <x:tableColumn id="3" name="Date Turned Yellow/Red"/>
    <x:tableColumn id="4" name="Original Target Date"/>
    <x:tableColumn id="5" name="Revised Target Date"/>
    <x:tableColumn id="6" name="Reason"/>
    <x:tableColumn id="7" name="Impact"/>
    <x:tableColumn id="8" name="Owner"/>
    <x:tableColumn id="9" name="Action Plan"/>
    <x:tableColumn id="10" name="Next Action Date"/>
    <x:tableColumn id="11" name="Recovery Date"/>
    <x:tableColumn id="12" name="Leadership Ask"/>
    <x:tableColumn id="13" name="Evidence / Note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21" name="JiraCoverageTable" displayName="JiraCoverageTable" ref="A4:Q104" headerRowCount="1" totalsRowCount="0" totalsRowShown="0">
  <x:tableColumns count="17">
    <x:tableColumn id="1" name="Jira Key"/>
    <x:tableColumn id="2" name="Feature Link"/>
    <x:tableColumn id="3" name="Workstream"/>
    <x:tableColumn id="4" name="Summary / Work Item"/>
    <x:tableColumn id="5" name="Ticket Type"/>
    <x:tableColumn id="6" name="Jira Status"/>
    <x:tableColumn id="7" name="Owner / Assignee"/>
    <x:tableColumn id="8" name="Sprint / Target"/>
    <x:tableColumn id="9" name="Estimate / Points"/>
    <x:tableColumn id="10" name="Estimate Confidence"/>
    <x:tableColumn id="11" name="Coverage Status"/>
    <x:tableColumn id="12" name="Dependency"/>
    <x:tableColumn id="13" name="Linked Workbook Item"/>
    <x:tableColumn id="14" name="Source Evidence"/>
    <x:tableColumn id="15" name="Missing Source Data"/>
    <x:tableColumn id="16" name="Required Action"/>
    <x:tableColumn id="17" name="Source Row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2" name="TicketGapsTable" displayName="TicketGapsTable" ref="A4:K104" headerRowCount="1" totalsRowCount="0" totalsRowShown="0">
  <x:tableColumns count="11">
    <x:tableColumn id="1" name="Gap ID"/>
    <x:tableColumn id="2" name="Related Work Item"/>
    <x:tableColumn id="3" name="Gap Type"/>
    <x:tableColumn id="4" name="Gap / Missing Info"/>
    <x:tableColumn id="5" name="Owner"/>
    <x:tableColumn id="6" name="Due Date"/>
    <x:tableColumn id="7" name="Action Needed"/>
    <x:tableColumn id="8" name="Status"/>
    <x:tableColumn id="9" name="Estimate Impact"/>
    <x:tableColumn id="10" name="Leadership Ask"/>
    <x:tableColumn id="11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3" name="BradReadinessTable" displayName="BradReadinessTable" ref="A4:F31" headerRowCount="1" totalsRowCount="0" totalsRowShown="0">
  <x:tableColumns count="6">
    <x:tableColumn id="1" name="Question"/>
    <x:tableColumn id="2" name="Short Answer"/>
    <x:tableColumn id="3" name="Evidence / Workbook Tab"/>
    <x:tableColumn id="4" name="Owner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4" name="ModernizationPlatformTable" displayName="ModernizationPlatformTable" ref="A4:D24" headerRowCount="1" totalsRowCount="0" totalsRowShown="0">
  <x:tableColumns count="4">
    <x:tableColumn id="1" name="Section"/>
    <x:tableColumn id="2" name="Message"/>
    <x:tableColumn id="3" name="Evidence / Detail"/>
    <x:tableColumn id="4" name="Management Valu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5" name="KeyTakeawaysTable" displayName="KeyTakeawaysTable" ref="A4:D24" headerRowCount="1" totalsRowCount="0" totalsRowShown="0">
  <x:tableColumns count="4">
    <x:tableColumn id="1" name="Priority"/>
    <x:tableColumn id="2" name="Finding"/>
    <x:tableColumn id="3" name="Confidence"/>
    <x:tableColumn id="4" name="Source Ref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6" name="DeliveryTasksTable" displayName="DeliveryTasksTable" ref="A4:P104" headerRowCount="1" totalsRowCount="0" totalsRowShown="0">
  <x:tableColumns count="16">
    <x:tableColumn id="1" name="Milestone"/>
    <x:tableColumn id="2" name="Description"/>
    <x:tableColumn id="3" name="Task Type"/>
    <x:tableColumn id="4" name="Complexity"/>
    <x:tableColumn id="5" name="Area"/>
    <x:tableColumn id="6" name="Environment"/>
    <x:tableColumn id="7" name="Ext Dependency"/>
    <x:tableColumn id="8" name="Jira Story"/>
    <x:tableColumn id="9" name="Sprint"/>
    <x:tableColumn id="10" name="Pts"/>
    <x:tableColumn id="11" name="Days Min"/>
    <x:tableColumn id="12" name="Days Max"/>
    <x:tableColumn id="13" name="Status"/>
    <x:tableColumn id="14" name="Who"/>
    <x:tableColumn id="15" name="R/Y/G"/>
    <x:tableColumn id="16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7" name="NfrTrackerTable" displayName="NfrTrackerTable" ref="A4:J104" headerRowCount="1" totalsRowCount="0" totalsRowShown="0">
  <x:tableColumns count="10">
    <x:tableColumn id="1" name="Ticket"/>
    <x:tableColumn id="2" name="Description"/>
    <x:tableColumn id="3" name="Responsible"/>
    <x:tableColumn id="4" name="Environment"/>
    <x:tableColumn id="5" name="NFR Area"/>
    <x:tableColumn id="6" name="DEV Status"/>
    <x:tableColumn id="7" name="Jira Story"/>
    <x:tableColumn id="8" name="Sprint"/>
    <x:tableColumn id="9" name="R/Y/G"/>
    <x:tableColumn id="10" name="Notes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8" name="DevTasksTable" displayName="DevTasksTable" ref="A4:J104" headerRowCount="1" totalsRowCount="0" totalsRowShown="0">
  <x:tableColumns count="10">
    <x:tableColumn id="1" name="Jira Ticket"/>
    <x:tableColumn id="2" name="Description"/>
    <x:tableColumn id="3" name="Type"/>
    <x:tableColumn id="4" name="Area"/>
    <x:tableColumn id="5" name="Environment"/>
    <x:tableColumn id="6" name="Status"/>
    <x:tableColumn id="7" name="Who"/>
    <x:tableColumn id="8" name="Sprint"/>
    <x:tableColumn id="9" name="R/Y/G"/>
    <x:tableColumn id="10" name="Note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9" name="TeamMembersTable" displayName="TeamMembersTable" ref="A4:N54" headerRowCount="1" totalsRowCount="0" totalsRowShown="0">
  <x:tableColumns count="14">
    <x:tableColumn id="1" name="Team"/>
    <x:tableColumn id="2" name="Who"/>
    <x:tableColumn id="3" name="Role"/>
    <x:tableColumn id="4" name="Notes"/>
    <x:tableColumn id="5" name="Email"/>
    <x:tableColumn id="6" name="AD-ENT"/>
    <x:tableColumn id="7" name="QA-ENT"/>
    <x:tableColumn id="8" name="Priv QA-ENT"/>
    <x:tableColumn id="9" name="DOE Role"/>
    <x:tableColumn id="10" name="GitHub Access"/>
    <x:tableColumn id="11" name="GitSAS Access"/>
    <x:tableColumn id="12" name="QA-ENT DB Access Group"/>
    <x:tableColumn id="13" name="Access Status"/>
    <x:tableColumn id="14" name="Follow-up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30" name="HeritageTable" displayName="HeritageTable" ref="A4:J54" headerRowCount="1" totalsRowCount="0" totalsRowShown="0">
  <x:tableColumns count="10">
    <x:tableColumn id="1" name="Server Name"/>
    <x:tableColumn id="2" name="Server Role"/>
    <x:tableColumn id="3" name="Description"/>
    <x:tableColumn id="4" name="Support"/>
    <x:tableColumn id="5" name="OS"/>
    <x:tableColumn id="6" name="Notes"/>
    <x:tableColumn id="7" name="Environment"/>
    <x:tableColumn id="8" name="Modernization Impact"/>
    <x:tableColumn id="9" name="Retirement Candidate?"/>
    <x:tableColumn id="10" name="Owner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31" name="NhAccountsTable" displayName="NhAccountsTable" ref="A4:I54" headerRowCount="1" totalsRowCount="0" totalsRowShown="0">
  <x:tableColumns count="9">
    <x:tableColumn id="1" name="Account Description"/>
    <x:tableColumn id="2" name="Account Name"/>
    <x:tableColumn id="3" name="EPV Onboarded"/>
    <x:tableColumn id="4" name="Locations Configured"/>
    <x:tableColumn id="5" name="Safe Name"/>
    <x:tableColumn id="6" name="Platform"/>
    <x:tableColumn id="7" name="Owner"/>
    <x:tableColumn id="8" name="Status"/>
    <x:tableColumn id="9" name="Notes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2" name="ReferenceTable" displayName="ReferenceTable" ref="A4:F54" headerRowCount="1" totalsRowCount="0" totalsRowShown="0">
  <x:tableColumns count="6">
    <x:tableColumn id="1" name="Description"/>
    <x:tableColumn id="2" name="Link / Value"/>
    <x:tableColumn id="3" name="Jira Code"/>
    <x:tableColumn id="4" name="Owner / Contact"/>
    <x:tableColumn id="5" name="Type"/>
    <x:tableColumn id="6" name="Notes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3" name="IntegrationsTable" displayName="IntegrationsTable" ref="A4:H54" headerRowCount="1" totalsRowCount="0" totalsRowShown="0">
  <x:tableColumns count="8">
    <x:tableColumn id="1" name="AppID"/>
    <x:tableColumn id="2" name="Project Contact"/>
    <x:tableColumn id="3" name="Tech Contact"/>
    <x:tableColumn id="4" name="Allowed Actions"/>
    <x:tableColumn id="5" name="Status"/>
    <x:tableColumn id="6" name="Environment"/>
    <x:tableColumn id="7" name="Jira / Request"/>
    <x:tableColumn id="8" name="Notes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4" name="IntegrationUpdatesTable" displayName="IntegrationUpdatesTable" ref="A4:K104" headerRowCount="1" totalsRowCount="0" totalsRowShown="0">
  <x:tableColumns count="11">
    <x:tableColumn id="1" name="Integration"/>
    <x:tableColumn id="2" name="Requested Change"/>
    <x:tableColumn id="3" name="Type"/>
    <x:tableColumn id="4" name="Area"/>
    <x:tableColumn id="5" name="Environment"/>
    <x:tableColumn id="6" name="Status"/>
    <x:tableColumn id="7" name="Who"/>
    <x:tableColumn id="8" name="Jira Ticket"/>
    <x:tableColumn id="9" name="Sprint"/>
    <x:tableColumn id="10" name="R/Y/G"/>
    <x:tableColumn id="11" name="Notes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1" name="TaskDurationAssumptions" displayName="TaskDurationAssumptions" ref="A4:G22" headerRowCount="1" totalsRowCount="0" totalsRowShown="0">
  <x:tableColumns count="7">
    <x:tableColumn id="1" name="Task Type"/>
    <x:tableColumn id="2" name="Category"/>
    <x:tableColumn id="3" name="Owner Type"/>
    <x:tableColumn id="4" name="Low"/>
    <x:tableColumn id="5" name="Medium"/>
    <x:tableColumn id="6" name="High"/>
    <x:tableColumn id="7" name="Unknown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2" name="DependencyLeadTimes" displayName="DependencyLeadTimes" ref="I4:K22" headerRowCount="1" totalsRowCount="0" totalsRowShown="0">
  <x:tableColumns count="3">
    <x:tableColumn id="1" name="Dependency Type"/>
    <x:tableColumn id="2" name="Default Lead Time Days"/>
    <x:tableColumn id="3" name="Default Owning Tea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a05da13e6649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49cf357f7749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ba81870f5b44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17700aa02745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b2fb0dbb08c4d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c2b38ad57649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1eea2f0b4f47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3d723e8cca4f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8d19a2b8da94d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42d1e4dca064fa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ce9842db9e14f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590a88c1fd442b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ba25eb341c8147f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9a8c04a33e64cc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dd42a0538ea400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82fdf92180c34db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0e257352204479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dd35a5306ec8412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20e9940d7947496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2d29866c5c1a4d2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b292e2821e0f452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bad56b362aa442b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eccf833f0a1d4a28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8689c4f2d838421d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e2980040fedd4293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bcc680f4daad432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c300c93f1ea847e3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ec021f0798eb49c5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e652919581db420b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2eea1096e6884e38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069923e8f5ed42fa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d8ea585a013c430e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30140fa1a10f40d7" /><Relationship Type="http://schemas.openxmlformats.org/officeDocument/2006/relationships/table" Target="/xl/tables/table34.xml" Id="R119ae10c4b3547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0" hidden="0" customWidth="1"/>
    <x:col min="4" max="4" width="13" hidden="0" customWidth="1"/>
    <x:col min="5" max="5" width="15" hidden="0" customWidth="1"/>
    <x:col min="6" max="6" width="20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0" hidden="0" customWidth="1"/>
  </x:cols>
  <x:sheetData>
    <x:row r="1" ht="30" customHeight="1">
      <x:c r="A1" s="38" t="str">
        <x:v>CVIS Unity Modernization Recovery Frame</x:v>
      </x:c>
      <x:c r="B1" s="38" t="str">
        <x:v>CVIS Unity Modernization Recovery Frame</x:v>
      </x:c>
      <x:c r="C1" s="38" t="str">
        <x:v>CVIS Unity Modernization Recovery Frame</x:v>
      </x:c>
      <x:c r="D1" s="38" t="str">
        <x:v>CVIS Unity Modernization Recovery Frame</x:v>
      </x:c>
      <x:c r="E1" s="38" t="str">
        <x:v>CVIS Unity Modernization Recovery Frame</x:v>
      </x:c>
      <x:c r="F1" s="38" t="str">
        <x:v>CVIS Unity Modernization Recovery Frame</x:v>
      </x:c>
      <x:c r="G1" s="38" t="str">
        <x:v>CVIS Unity Modernization Recovery Frame</x:v>
      </x:c>
      <x:c r="H1" s="38" t="str">
        <x:v>CVIS Unity Modernization Recovery Frame</x:v>
      </x:c>
      <x:c r="I1" s="38" t="str">
        <x:v>CVIS Unity Modernization Recovery Frame</x:v>
      </x:c>
      <x:c r="J1" s="38" t="str">
        <x:v>CVIS Unity Modernization Recovery Frame</x:v>
      </x:c>
      <x:c r="K1" s="38" t="str">
        <x:v>CVIS Unity Modernization Recovery Frame</x:v>
      </x:c>
      <x:c r="L1" s="38" t="str">
        <x:v>CVIS Unity Modernization Recovery Frame</x:v>
      </x:c>
    </x:row>
    <x:row r="2" ht="34" customHeight="1">
      <x:c r="A2" s="39" t="str">
        <x:v>Management view: progress, risks, milestones, and outside dependencies. Jira can hold detailed task execution.</x:v>
      </x:c>
      <x:c r="B2" s="39" t="str">
        <x:v>Management view: progress, risks, milestones, and outside dependencies. Jira can hold detailed task execution.</x:v>
      </x:c>
      <x:c r="C2" s="39" t="str">
        <x:v>Management view: progress, risks, milestones, and outside dependencies. Jira can hold detailed task execution.</x:v>
      </x:c>
      <x:c r="D2" s="39" t="str">
        <x:v>Management view: progress, risks, milestones, and outside dependencies. Jira can hold detailed task execution.</x:v>
      </x:c>
      <x:c r="E2" s="39" t="str">
        <x:v>Management view: progress, risks, milestones, and outside dependencies. Jira can hold detailed task execution.</x:v>
      </x:c>
      <x:c r="F2" s="39" t="str">
        <x:v>Management view: progress, risks, milestones, and outside dependencies. Jira can hold detailed task execution.</x:v>
      </x:c>
      <x:c r="G2" s="39" t="str">
        <x:v>Management view: progress, risks, milestones, and outside dependencies. Jira can hold detailed task execution.</x:v>
      </x:c>
      <x:c r="H2" s="39" t="str">
        <x:v>Management view: progress, risks, milestones, and outside dependencies. Jira can hold detailed task execution.</x:v>
      </x:c>
      <x:c r="I2" s="39" t="str">
        <x:v>Management view: progress, risks, milestones, and outside dependencies. Jira can hold detailed task execution.</x:v>
      </x:c>
      <x:c r="J2" s="39" t="str">
        <x:v>Management view: progress, risks, milestones, and outside dependencies. Jira can hold detailed task execution.</x:v>
      </x:c>
      <x:c r="K2" s="39" t="str">
        <x:v>Management view: progress, risks, milestones, and outside dependencies. Jira can hold detailed task execution.</x:v>
      </x:c>
      <x:c r="L2" s="39" t="str">
        <x:v>Management view: progress, risks, milestones, and outside dependencies. Jira can hold detailed task execution.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</x:row>
    <x:row r="4" ht="48" customHeight="1">
      <x:c r="A4" s="41" t="str">
        <x:v>Key Message: CVIS is re-baselining modernization around the reusable Unity platform, separating Phase 1 operational scope from internal support utilities, validating revised NGDC/PtB dates, and tracking every red/yellow item with owner, evidence, action plan, and recovery path. Jira is being used as delivery evidence: missing tickets, missing estimates, CAB/CHK gaps, and INC/SEV impacts are tracked separately so dates remain defensible.</x:v>
      </x:c>
      <x:c r="B4" s="42" t="str">
        <x:v>Key Message: CVIS is re-baselining modernization around the reusable Unity platform, separating Phase 1 operational scope from internal support utilities, validating revised NGDC/PtB dates, and tracking every red/yellow item with owner, evidence, action plan, and recovery path. Jira is being used as delivery evidence: missing tickets, missing estimates, CAB/CHK gaps, and INC/SEV impacts are tracked separately so dates remain defensible.</x:v>
      </x:c>
      <x:c r="C4" s="42" t="str">
        <x:v>Key Message: CVIS is re-baselining modernization around the reusable Unity platform, separating Phase 1 operational scope from internal support utilities, validating revised NGDC/PtB dates, and tracking every red/yellow item with owner, evidence, action plan, and recovery path. Jira is being used as delivery evidence: missing tickets, missing estimates, CAB/CHK gaps, and INC/SEV impacts are tracked separately so dates remain defensible.</x:v>
      </x:c>
      <x:c r="D4" s="42" t="str">
        <x:v>Key Message: CVIS is re-baselining modernization around the reusable Unity platform, separating Phase 1 operational scope from internal support utilities, validating revised NGDC/PtB dates, and tracking every red/yellow item with owner, evidence, action plan, and recovery path. Jira is being used as delivery evidence: missing tickets, missing estimates, CAB/CHK gaps, and INC/SEV impacts are tracked separately so dates remain defensible.</x:v>
      </x:c>
      <x:c r="E4" s="42" t="str">
        <x:v>Key Message: CVIS is re-baselining modernization around the reusable Unity platform, separating Phase 1 operational scope from internal support utilities, validating revised NGDC/PtB dates, and tracking every red/yellow item with owner, evidence, action plan, and recovery path. Jira is being used as delivery evidence: missing tickets, missing estimates, CAB/CHK gaps, and INC/SEV impacts are tracked separately so dates remain defensible.</x:v>
      </x:c>
      <x:c r="F4" s="42" t="str">
        <x:v>Key Message: CVIS is re-baselining modernization around the reusable Unity platform, separating Phase 1 operational scope from internal support utilities, validating revised NGDC/PtB dates, and tracking every red/yellow item with owner, evidence, action plan, and recovery path. Jira is being used as delivery evidence: missing tickets, missing estimates, CAB/CHK gaps, and INC/SEV impacts are tracked separately so dates remain defensible.</x:v>
      </x:c>
      <x:c r="G4" s="42" t="str">
        <x:v>Key Message: CVIS is re-baselining modernization around the reusable Unity platform, separating Phase 1 operational scope from internal support utilities, validating revised NGDC/PtB dates, and tracking every red/yellow item with owner, evidence, action plan, and recovery path. Jira is being used as delivery evidence: missing tickets, missing estimates, CAB/CHK gaps, and INC/SEV impacts are tracked separately so dates remain defensible.</x:v>
      </x:c>
      <x:c r="H4" s="42" t="str">
        <x:v>Key Message: CVIS is re-baselining modernization around the reusable Unity platform, separating Phase 1 operational scope from internal support utilities, validating revised NGDC/PtB dates, and tracking every red/yellow item with owner, evidence, action plan, and recovery path. Jira is being used as delivery evidence: missing tickets, missing estimates, CAB/CHK gaps, and INC/SEV impacts are tracked separately so dates remain defensible.</x:v>
      </x:c>
      <x:c r="I4" s="42" t="str">
        <x:v>Key Message: CVIS is re-baselining modernization around the reusable Unity platform, separating Phase 1 operational scope from internal support utilities, validating revised NGDC/PtB dates, and tracking every red/yellow item with owner, evidence, action plan, and recovery path. Jira is being used as delivery evidence: missing tickets, missing estimates, CAB/CHK gaps, and INC/SEV impacts are tracked separately so dates remain defensible.</x:v>
      </x:c>
      <x:c r="J4" s="42" t="str">
        <x:v>Key Message: CVIS is re-baselining modernization around the reusable Unity platform, separating Phase 1 operational scope from internal support utilities, validating revised NGDC/PtB dates, and tracking every red/yellow item with owner, evidence, action plan, and recovery path. Jira is being used as delivery evidence: missing tickets, missing estimates, CAB/CHK gaps, and INC/SEV impacts are tracked separately so dates remain defensible.</x:v>
      </x:c>
      <x:c r="K4" s="42" t="str">
        <x:v>Key Message: CVIS is re-baselining modernization around the reusable Unity platform, separating Phase 1 operational scope from internal support utilities, validating revised NGDC/PtB dates, and tracking every red/yellow item with owner, evidence, action plan, and recovery path. Jira is being used as delivery evidence: missing tickets, missing estimates, CAB/CHK gaps, and INC/SEV impacts are tracked separately so dates remain defensible.</x:v>
      </x:c>
      <x:c r="L4" s="43" t="str">
        <x:v>Key Message: CVIS is re-baselining modernization around the reusable Unity platform, separating Phase 1 operational scope from internal support utilities, validating revised NGDC/PtB dates, and tracking every red/yellow item with owner, evidence, action plan, and recovery path. Jira is being used as delivery evidence: missing tickets, missing estimates, CAB/CHK gaps, and INC/SEV impacts are tracked separately so dates remain defensible.</x:v>
      </x:c>
    </x:row>
    <x:row r="5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</x:row>
    <x:row r="6">
      <x:c r="A6" s="40"/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</x:row>
    <x:row r="7" ht="34" customHeight="1">
      <x:c r="A7" s="44" t="str">
        <x:v>Total Actions</x:v>
      </x:c>
      <x:c r="B7" s="44" t="str">
        <x:v>In Progress</x:v>
      </x:c>
      <x:c r="C7" s="44" t="str">
        <x:v>Blocked</x:v>
      </x:c>
      <x:c r="D7" s="44" t="str">
        <x:v>Waiting External</x:v>
      </x:c>
      <x:c r="E7" s="44" t="str">
        <x:v>Complete</x:v>
      </x:c>
      <x:c r="F7" s="44" t="str">
        <x:v>Dependencies</x:v>
      </x:c>
      <x:c r="G7" s="44" t="str">
        <x:v>Escalations</x:v>
      </x:c>
      <x:c r="H7" s="44" t="str">
        <x:v>At-Risk Red</x:v>
      </x:c>
      <x:c r="I7" s="44" t="str">
        <x:v>At-Risk Yellow</x:v>
      </x:c>
      <x:c r="J7" s="44" t="str">
        <x:v>Inventory Rows</x:v>
      </x:c>
      <x:c r="K7" s="44" t="str">
        <x:v>Ticket Gaps</x:v>
      </x:c>
      <x:c r="L7" s="44" t="str">
        <x:v>Low Confidence Tickets</x:v>
      </x:c>
    </x:row>
    <x:row r="8">
      <x:c r="A8" s="45" t="n">
        <x:f>COUNTA('Action Plan'!$A$5:$A$104)</x:f>
        <x:v>7</x:v>
      </x:c>
      <x:c r="B8" s="45" t="n">
        <x:f>COUNTIF('Action Plan'!$N$5:$N$104,"In Progress")</x:f>
        <x:v>2</x:v>
      </x:c>
      <x:c r="C8" s="45" t="n">
        <x:f>COUNTIF('Action Plan'!$N$5:$N$104,"Blocked")</x:f>
        <x:v>0</x:v>
      </x:c>
      <x:c r="D8" s="45" t="n">
        <x:f>COUNTIF('Action Plan'!$N$5:$N$104,"Waiting External")</x:f>
        <x:v>2</x:v>
      </x:c>
      <x:c r="E8" s="45" t="n">
        <x:f>COUNTIF('Action Plan'!$N$5:$N$104,"Complete")</x:f>
        <x:v>0</x:v>
      </x:c>
      <x:c r="F8" s="45" t="n">
        <x:f>COUNTA(Dependencies!$A$5:$A$54)</x:f>
        <x:v>12</x:v>
      </x:c>
      <x:c r="G8" s="45" t="n">
        <x:f>COUNTIF(Dependencies!$P$5:$P$54,"Yes")</x:f>
        <x:v>0</x:v>
      </x:c>
      <x:c r="H8" s="45" t="n">
        <x:f>COUNTIF('At-Risk Register'!$B$5:$B$54,"Red")</x:f>
        <x:v>4</x:v>
      </x:c>
      <x:c r="I8" s="45" t="n">
        <x:f>COUNTIF('At-Risk Register'!$B$5:$B$54,"Yellow")</x:f>
        <x:v>16</x:v>
      </x:c>
      <x:c r="J8" s="45" t="n">
        <x:f>COUNTA('Application Inventory'!$B$5:$B$46)</x:f>
        <x:v>42</x:v>
      </x:c>
      <x:c r="K8" s="45" t="n">
        <x:f>COUNTIF('Ticket Gaps'!$C$5:$C$104,"Missing Ticket")+COUNTIF('Ticket Gaps'!$C$5:$C$104,"Existing But Incomplete")+COUNTIF('Ticket Gaps'!$C$5:$C$104,"Needs Split")+COUNTIF('Ticket Gaps'!$C$5:$C$104,"Needs Estimate")+COUNTIF('Ticket Gaps'!$C$5:$C$104,"Blocked by Dependency")+COUNTIF('Ticket Gaps'!$C$5:$C$104,"Source Data Needed")</x:f>
        <x:v>14</x:v>
      </x:c>
      <x:c r="L8" s="45" t="n">
        <x:f>COUNTIF('Jira Coverage'!$J$5:$J$104,"Low")</x:f>
        <x:v>14</x:v>
      </x:c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</x:row>
    <x:row r="10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 ht="34" customHeight="1">
      <x:c r="A11" s="44" t="str">
        <x:v>Workstream</x:v>
      </x:c>
      <x:c r="B11" s="44" t="str">
        <x:v>RAG</x:v>
      </x:c>
      <x:c r="C11" s="44" t="str">
        <x:v>Open Actions</x:v>
      </x:c>
      <x:c r="D11" s="44" t="str">
        <x:v>Blocked Actions</x:v>
      </x:c>
      <x:c r="E11" s="44" t="str">
        <x:v>Next Forecast Date</x:v>
      </x:c>
      <x:c r="F11" s="44" t="str">
        <x:v>Owner / Team</x:v>
      </x:c>
      <x:c r="G11" s="44" t="str">
        <x:v>Key Blocker</x:v>
      </x:c>
      <x:c r="H11" s="44" t="str">
        <x:v>Next Management Action</x:v>
      </x:c>
      <x:c r="I11" s="40"/>
      <x:c r="J11" s="40"/>
      <x:c r="K11" s="40"/>
      <x:c r="L11" s="40"/>
    </x:row>
    <x:row r="12">
      <x:c r="A12" s="15" t="str">
        <x:v>Application Inventory</x:v>
      </x:c>
      <x:c r="B12" s="15" t="str">
        <x:f>IF(D12&gt;0,"Red",IF(C12&gt;0,"Yellow","Green"))</x:f>
        <x:v>Yellow</x:v>
      </x:c>
      <x:c r="C12" s="15" t="n">
        <x:f>COUNTIFS('Action Plan'!$B$5:$B$104,A12,'Action Plan'!$N$5:$N$104,"&lt;&gt;Complete",'Action Plan'!$N$5:$N$104,"&lt;&gt;Cancelled")</x:f>
        <x:v>2</x:v>
      </x:c>
      <x:c r="D12" s="15" t="n">
        <x:f>COUNTIFS('Action Plan'!$B$5:$B$104,A12,'Action Plan'!$N$5:$N$104,"Blocked")+COUNTIFS('Action Plan'!$B$5:$B$104,A12,'Action Plan'!$N$5:$N$104,"Waiting External")</x:f>
        <x:v>0</x:v>
      </x:c>
      <x:c r="E12" s="20" t="str">
        <x:f>IFERROR(MINIFS('Action Plan'!$J$5:$J$104,'Action Plan'!$B$5:$B$104,A12,'Action Plan'!$N$5:$N$104,"&lt;&gt;Complete"),"")</x:f>
      </x:c>
      <x:c r="F12" s="15" t="str"/>
      <x:c r="G12" s="15" t="str"/>
      <x:c r="H12" s="15" t="str"/>
      <x:c r="I12" s="40"/>
      <x:c r="J12" s="40"/>
      <x:c r="K12" s="40"/>
      <x:c r="L12" s="40"/>
    </x:row>
    <x:row r="13">
      <x:c r="A13" s="15" t="str">
        <x:v>Unity Architecture</x:v>
      </x:c>
      <x:c r="B13" s="15" t="str">
        <x:f>IF(D13&gt;0,"Red",IF(C13&gt;0,"Yellow","Green"))</x:f>
        <x:v>Yellow</x:v>
      </x:c>
      <x:c r="C13" s="15" t="n">
        <x:f>COUNTIFS('Action Plan'!$B$5:$B$104,A13,'Action Plan'!$N$5:$N$104,"&lt;&gt;Complete",'Action Plan'!$N$5:$N$104,"&lt;&gt;Cancelled")</x:f>
        <x:v>1</x:v>
      </x:c>
      <x:c r="D13" s="15" t="n">
        <x:f>COUNTIFS('Action Plan'!$B$5:$B$104,A13,'Action Plan'!$N$5:$N$104,"Blocked")+COUNTIFS('Action Plan'!$B$5:$B$104,A13,'Action Plan'!$N$5:$N$104,"Waiting External")</x:f>
        <x:v>0</x:v>
      </x:c>
      <x:c r="E13" s="20" t="str">
        <x:f>IFERROR(MINIFS('Action Plan'!$J$5:$J$104,'Action Plan'!$B$5:$B$104,A13,'Action Plan'!$N$5:$N$104,"&lt;&gt;Complete"),"")</x:f>
      </x:c>
      <x:c r="F13" s="15" t="str"/>
      <x:c r="G13" s="15" t="str"/>
      <x:c r="H13" s="15" t="str"/>
      <x:c r="I13" s="40"/>
      <x:c r="J13" s="40"/>
      <x:c r="K13" s="40"/>
      <x:c r="L13" s="40"/>
    </x:row>
    <x:row r="14">
      <x:c r="A14" s="15" t="str">
        <x:v>NFRs / Governance</x:v>
      </x:c>
      <x:c r="B14" s="15" t="str">
        <x:f>IF(D14&gt;0,"Red",IF(C14&gt;0,"Yellow","Green"))</x:f>
        <x:v>Yellow</x:v>
      </x:c>
      <x:c r="C14" s="15" t="n">
        <x:f>COUNTIFS('Action Plan'!$B$5:$B$104,A14,'Action Plan'!$N$5:$N$104,"&lt;&gt;Complete",'Action Plan'!$N$5:$N$104,"&lt;&gt;Cancelled")</x:f>
        <x:v>1</x:v>
      </x:c>
      <x:c r="D14" s="15" t="n">
        <x:f>COUNTIFS('Action Plan'!$B$5:$B$104,A14,'Action Plan'!$N$5:$N$104,"Blocked")+COUNTIFS('Action Plan'!$B$5:$B$104,A14,'Action Plan'!$N$5:$N$104,"Waiting External")</x:f>
        <x:v>0</x:v>
      </x:c>
      <x:c r="E14" s="20" t="str">
        <x:f>IFERROR(MINIFS('Action Plan'!$J$5:$J$104,'Action Plan'!$B$5:$B$104,A14,'Action Plan'!$N$5:$N$104,"&lt;&gt;Complete"),"")</x:f>
      </x:c>
      <x:c r="F14" s="15" t="str"/>
      <x:c r="G14" s="15" t="str"/>
      <x:c r="H14" s="15" t="str"/>
      <x:c r="I14" s="40"/>
      <x:c r="J14" s="40"/>
      <x:c r="K14" s="40"/>
      <x:c r="L14" s="40"/>
    </x:row>
    <x:row r="15">
      <x:c r="A15" s="15" t="str">
        <x:v>CyberArk Integration</x:v>
      </x:c>
      <x:c r="B15" s="15" t="str">
        <x:f>IF(D15&gt;0,"Red",IF(C15&gt;0,"Yellow","Green"))</x:f>
        <x:v>Green</x:v>
      </x:c>
      <x:c r="C15" s="15" t="n">
        <x:f>COUNTIFS('Action Plan'!$B$5:$B$104,A15,'Action Plan'!$N$5:$N$104,"&lt;&gt;Complete",'Action Plan'!$N$5:$N$104,"&lt;&gt;Cancelled")</x:f>
        <x:v>0</x:v>
      </x:c>
      <x:c r="D15" s="15" t="n">
        <x:f>COUNTIFS('Action Plan'!$B$5:$B$104,A15,'Action Plan'!$N$5:$N$104,"Blocked")+COUNTIFS('Action Plan'!$B$5:$B$104,A15,'Action Plan'!$N$5:$N$104,"Waiting External")</x:f>
        <x:v>0</x:v>
      </x:c>
      <x:c r="E15" s="20" t="str">
        <x:f>IFERROR(MINIFS('Action Plan'!$J$5:$J$104,'Action Plan'!$B$5:$B$104,A15,'Action Plan'!$N$5:$N$104,"&lt;&gt;Complete"),"")</x:f>
      </x:c>
      <x:c r="F15" s="15" t="str"/>
      <x:c r="G15" s="15" t="str"/>
      <x:c r="H15" s="15" t="str"/>
      <x:c r="I15" s="40"/>
      <x:c r="J15" s="40"/>
      <x:c r="K15" s="40"/>
      <x:c r="L15" s="40"/>
    </x:row>
    <x:row r="16">
      <x:c r="A16" s="15" t="str">
        <x:v>Container Onboarding</x:v>
      </x:c>
      <x:c r="B16" s="15" t="str">
        <x:f>IF(D16&gt;0,"Red",IF(C16&gt;0,"Yellow","Green"))</x:f>
        <x:v>Red</x:v>
      </x:c>
      <x:c r="C16" s="15" t="n">
        <x:f>COUNTIFS('Action Plan'!$B$5:$B$104,A16,'Action Plan'!$N$5:$N$104,"&lt;&gt;Complete",'Action Plan'!$N$5:$N$104,"&lt;&gt;Cancelled")</x:f>
        <x:v>1</x:v>
      </x:c>
      <x:c r="D16" s="15" t="n">
        <x:f>COUNTIFS('Action Plan'!$B$5:$B$104,A16,'Action Plan'!$N$5:$N$104,"Blocked")+COUNTIFS('Action Plan'!$B$5:$B$104,A16,'Action Plan'!$N$5:$N$104,"Waiting External")</x:f>
        <x:v>1</x:v>
      </x:c>
      <x:c r="E16" s="20" t="str">
        <x:f>IFERROR(MINIFS('Action Plan'!$J$5:$J$104,'Action Plan'!$B$5:$B$104,A16,'Action Plan'!$N$5:$N$104,"&lt;&gt;Complete"),"")</x:f>
      </x:c>
      <x:c r="F16" s="15" t="str"/>
      <x:c r="G16" s="15" t="str"/>
      <x:c r="H16" s="15" t="str"/>
      <x:c r="I16" s="40"/>
      <x:c r="J16" s="40"/>
      <x:c r="K16" s="40"/>
      <x:c r="L16" s="40"/>
    </x:row>
    <x:row r="17">
      <x:c r="A17" s="15" t="str">
        <x:v>Apigee / API Onboarding</x:v>
      </x:c>
      <x:c r="B17" s="15" t="str">
        <x:f>IF(D17&gt;0,"Red",IF(C17&gt;0,"Yellow","Green"))</x:f>
        <x:v>Red</x:v>
      </x:c>
      <x:c r="C17" s="15" t="n">
        <x:f>COUNTIFS('Action Plan'!$B$5:$B$104,A17,'Action Plan'!$N$5:$N$104,"&lt;&gt;Complete",'Action Plan'!$N$5:$N$104,"&lt;&gt;Cancelled")</x:f>
        <x:v>1</x:v>
      </x:c>
      <x:c r="D17" s="15" t="n">
        <x:f>COUNTIFS('Action Plan'!$B$5:$B$104,A17,'Action Plan'!$N$5:$N$104,"Blocked")+COUNTIFS('Action Plan'!$B$5:$B$104,A17,'Action Plan'!$N$5:$N$104,"Waiting External")</x:f>
        <x:v>1</x:v>
      </x:c>
      <x:c r="E17" s="20" t="str">
        <x:f>IFERROR(MINIFS('Action Plan'!$J$5:$J$104,'Action Plan'!$B$5:$B$104,A17,'Action Plan'!$N$5:$N$104,"&lt;&gt;Complete"),"")</x:f>
      </x:c>
      <x:c r="F17" s="15" t="str"/>
      <x:c r="G17" s="15" t="str"/>
      <x:c r="H17" s="15" t="str"/>
      <x:c r="I17" s="40"/>
      <x:c r="J17" s="40"/>
      <x:c r="K17" s="40"/>
      <x:c r="L17" s="40"/>
    </x:row>
    <x:row r="18">
      <x:c r="A18" s="15" t="str">
        <x:v>Build / Refactor</x:v>
      </x:c>
      <x:c r="B18" s="15" t="str">
        <x:f>IF(D18&gt;0,"Red",IF(C18&gt;0,"Yellow","Green"))</x:f>
        <x:v>Yellow</x:v>
      </x:c>
      <x:c r="C18" s="15" t="n">
        <x:f>COUNTIFS('Action Plan'!$B$5:$B$104,A18,'Action Plan'!$N$5:$N$104,"&lt;&gt;Complete",'Action Plan'!$N$5:$N$104,"&lt;&gt;Cancelled")</x:f>
        <x:v>1</x:v>
      </x:c>
      <x:c r="D18" s="15" t="n">
        <x:f>COUNTIFS('Action Plan'!$B$5:$B$104,A18,'Action Plan'!$N$5:$N$104,"Blocked")+COUNTIFS('Action Plan'!$B$5:$B$104,A18,'Action Plan'!$N$5:$N$104,"Waiting External")</x:f>
        <x:v>0</x:v>
      </x:c>
      <x:c r="E18" s="20" t="str">
        <x:f>IFERROR(MINIFS('Action Plan'!$J$5:$J$104,'Action Plan'!$B$5:$B$104,A18,'Action Plan'!$N$5:$N$104,"&lt;&gt;Complete"),"")</x:f>
      </x:c>
      <x:c r="F18" s="15" t="str"/>
      <x:c r="G18" s="15" t="str"/>
      <x:c r="H18" s="15" t="str"/>
      <x:c r="I18" s="40"/>
      <x:c r="J18" s="40"/>
      <x:c r="K18" s="40"/>
      <x:c r="L18" s="40"/>
    </x:row>
    <x:row r="19">
      <x:c r="A19" s="15" t="str">
        <x:v>Testing / Validation</x:v>
      </x:c>
      <x:c r="B19" s="15" t="str">
        <x:f>IF(D19&gt;0,"Red",IF(C19&gt;0,"Yellow","Green"))</x:f>
        <x:v>Green</x:v>
      </x:c>
      <x:c r="C19" s="15" t="n">
        <x:f>COUNTIFS('Action Plan'!$B$5:$B$104,A19,'Action Plan'!$N$5:$N$104,"&lt;&gt;Complete",'Action Plan'!$N$5:$N$104,"&lt;&gt;Cancelled")</x:f>
        <x:v>0</x:v>
      </x:c>
      <x:c r="D19" s="15" t="n">
        <x:f>COUNTIFS('Action Plan'!$B$5:$B$104,A19,'Action Plan'!$N$5:$N$104,"Blocked")+COUNTIFS('Action Plan'!$B$5:$B$104,A19,'Action Plan'!$N$5:$N$104,"Waiting External")</x:f>
        <x:v>0</x:v>
      </x:c>
      <x:c r="E19" s="20" t="str">
        <x:f>IFERROR(MINIFS('Action Plan'!$J$5:$J$104,'Action Plan'!$B$5:$B$104,A19,'Action Plan'!$N$5:$N$104,"&lt;&gt;Complete"),"")</x:f>
      </x:c>
      <x:c r="F19" s="15" t="str"/>
      <x:c r="G19" s="15" t="str"/>
      <x:c r="H19" s="15" t="str"/>
      <x:c r="I19" s="40"/>
      <x:c r="J19" s="40"/>
      <x:c r="K19" s="40"/>
      <x:c r="L19" s="40"/>
    </x:row>
    <x:row r="20">
      <x:c r="A20" s="15" t="str">
        <x:v>Release / Deployment</x:v>
      </x:c>
      <x:c r="B20" s="15" t="str">
        <x:f>IF(D20&gt;0,"Red",IF(C20&gt;0,"Yellow","Green"))</x:f>
        <x:v>Green</x:v>
      </x:c>
      <x:c r="C20" s="15" t="n">
        <x:f>COUNTIFS('Action Plan'!$B$5:$B$104,A20,'Action Plan'!$N$5:$N$104,"&lt;&gt;Complete",'Action Plan'!$N$5:$N$104,"&lt;&gt;Cancelled")</x:f>
        <x:v>0</x:v>
      </x:c>
      <x:c r="D20" s="15" t="n">
        <x:f>COUNTIFS('Action Plan'!$B$5:$B$104,A20,'Action Plan'!$N$5:$N$104,"Blocked")+COUNTIFS('Action Plan'!$B$5:$B$104,A20,'Action Plan'!$N$5:$N$104,"Waiting External")</x:f>
        <x:v>0</x:v>
      </x:c>
      <x:c r="E20" s="20" t="str">
        <x:f>IFERROR(MINIFS('Action Plan'!$J$5:$J$104,'Action Plan'!$B$5:$B$104,A20,'Action Plan'!$N$5:$N$104,"&lt;&gt;Complete"),"")</x:f>
      </x:c>
      <x:c r="F20" s="15" t="str"/>
      <x:c r="G20" s="15" t="str"/>
      <x:c r="H20" s="15" t="str"/>
      <x:c r="I20" s="40"/>
      <x:c r="J20" s="40"/>
      <x:c r="K20" s="40"/>
      <x:c r="L20" s="40"/>
    </x:row>
    <x:row r="21">
      <x:c r="A21" s="15" t="str">
        <x:v>Management Reporting</x:v>
      </x:c>
      <x:c r="B21" s="15" t="str">
        <x:f>IF(D21&gt;0,"Red",IF(C21&gt;0,"Yellow","Green"))</x:f>
        <x:v>Green</x:v>
      </x:c>
      <x:c r="C21" s="15" t="n">
        <x:f>COUNTIFS('Action Plan'!$B$5:$B$104,A21,'Action Plan'!$N$5:$N$104,"&lt;&gt;Complete",'Action Plan'!$N$5:$N$104,"&lt;&gt;Cancelled")</x:f>
        <x:v>0</x:v>
      </x:c>
      <x:c r="D21" s="15" t="n">
        <x:f>COUNTIFS('Action Plan'!$B$5:$B$104,A21,'Action Plan'!$N$5:$N$104,"Blocked")+COUNTIFS('Action Plan'!$B$5:$B$104,A21,'Action Plan'!$N$5:$N$104,"Waiting External")</x:f>
        <x:v>0</x:v>
      </x:c>
      <x:c r="E21" s="20" t="str">
        <x:f>IFERROR(MINIFS('Action Plan'!$J$5:$J$104,'Action Plan'!$B$5:$B$104,A21,'Action Plan'!$N$5:$N$104,"&lt;&gt;Complete"),"")</x:f>
      </x:c>
      <x:c r="F21" s="15" t="str"/>
      <x:c r="G21" s="15" t="str"/>
      <x:c r="H21" s="15" t="str"/>
      <x:c r="I21" s="40"/>
      <x:c r="J21" s="40"/>
      <x:c r="K21" s="40"/>
      <x:c r="L21" s="40"/>
    </x:row>
    <x:row r="22">
      <x:c r="A22" s="40" t="str">
        <x:v>Database</x:v>
      </x:c>
      <x:c r="B22" s="40"/>
      <x:c r="C22" s="40"/>
      <x:c r="D22" s="40"/>
      <x:c r="E22" s="40"/>
      <x:c r="F22" s="40" t="str"/>
      <x:c r="G22" s="40" t="str"/>
      <x:c r="H22" s="40" t="str"/>
      <x:c r="I22" s="40"/>
      <x:c r="J22" s="40"/>
      <x:c r="K22" s="40"/>
      <x:c r="L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 ht="34" customHeight="1">
      <x:c r="A24" s="44" t="str">
        <x:v>Sprint Recovery View</x:v>
      </x:c>
      <x:c r="B24" s="44" t="str">
        <x:v>Purpose</x:v>
      </x:c>
      <x:c r="C24" s="44" t="str">
        <x:v>Owner</x:v>
      </x:c>
      <x:c r="D24" s="44" t="str">
        <x:v>Target Date</x:v>
      </x:c>
      <x:c r="E24" s="44" t="str">
        <x:v>Status</x:v>
      </x:c>
      <x:c r="F24" s="44" t="str">
        <x:v>Dependency</x:v>
      </x:c>
      <x:c r="G24" s="44" t="str">
        <x:v>Evidence / Ticket</x:v>
      </x:c>
      <x:c r="H24" s="44" t="str">
        <x:v>Notes</x:v>
      </x:c>
      <x:c r="I24" s="40"/>
      <x:c r="J24" s="40"/>
      <x:c r="K24" s="40"/>
      <x:c r="L24" s="40"/>
    </x:row>
    <x:row r="25">
      <x:c r="A25" s="15" t="str">
        <x:v>Sprint 17 recovery baseline</x:v>
      </x:c>
      <x:c r="B25" s="15" t="str">
        <x:v>Roadmap, owners, blockers, risks, dependencies</x:v>
      </x:c>
      <x:c r="C25" s="15" t="str">
        <x:v>CVIS / Leadership</x:v>
      </x:c>
      <x:c r="D25" s="20" t="n">
        <x:v>46259</x:v>
      </x:c>
      <x:c r="E25" s="15" t="str">
        <x:v>In Progress</x:v>
      </x:c>
      <x:c r="F25" s="15" t="str">
        <x:v>Architecture / NFR</x:v>
      </x:c>
      <x:c r="G25" s="15" t="str">
        <x:v>Sprint Deliverables</x:v>
      </x:c>
      <x:c r="H25" s="15" t="str"/>
      <x:c r="I25" s="40"/>
      <x:c r="J25" s="40"/>
      <x:c r="K25" s="40"/>
      <x:c r="L25" s="40"/>
    </x:row>
    <x:row r="26">
      <x:c r="A26" s="15" t="str">
        <x:v>RSA retirement release</x:v>
      </x:c>
      <x:c r="B26" s="15" t="str">
        <x:v>Remove RSA dependency from legacy apps</x:v>
      </x:c>
      <x:c r="C26" s="15" t="str">
        <x:v>Yasser / CVIS</x:v>
      </x:c>
      <x:c r="D26" s="20" t="n">
        <x:v>46265</x:v>
      </x:c>
      <x:c r="E26" s="15" t="str">
        <x:v>In Progress</x:v>
      </x:c>
      <x:c r="F26" s="15" t="str">
        <x:v>CAB / CHK</x:v>
      </x:c>
      <x:c r="G26" s="15" t="str">
        <x:v>Jira ticket TBD</x:v>
      </x:c>
      <x:c r="H26" s="15" t="str">
        <x:v>Release expected after 08/25</x:v>
      </x:c>
      <x:c r="I26" s="40"/>
      <x:c r="J26" s="40"/>
      <x:c r="K26" s="40"/>
      <x:c r="L26" s="40"/>
    </x:row>
    <x:row r="27">
      <x:c r="A27" s="15" t="str">
        <x:v>.NET 10 / legacy runtime plan</x:v>
      </x:c>
      <x:c r="B27" s="15" t="str">
        <x:v>Identify .NET 4.7-era apps and prioritize Unity migration before fix release window closes</x:v>
      </x:c>
      <x:c r="C27" s="15" t="str">
        <x:v>CVIS / Architecture</x:v>
      </x:c>
      <x:c r="D27" s="20" t="n">
        <x:v>46295</x:v>
      </x:c>
      <x:c r="E27" s="15" t="str">
        <x:v>At Risk</x:v>
      </x:c>
      <x:c r="F27" s="15" t="str">
        <x:v>Unity migration</x:v>
      </x:c>
      <x:c r="G27" s="15" t="str">
        <x:v>Application Inventory</x:v>
      </x:c>
      <x:c r="H27" s="15" t="str">
        <x:v>Dates shown without Devin acceleration</x:v>
      </x:c>
      <x:c r="I27" s="40"/>
      <x:c r="J27" s="40"/>
      <x:c r="K27" s="40"/>
      <x:c r="L27" s="40"/>
    </x:row>
    <x:row r="28">
      <x:c r="A28" s="15" t="str">
        <x:v>Sprint 18 platform readiness</x:v>
      </x:c>
      <x:c r="B28" s="15" t="str">
        <x:v>OCP/OpenShift, containers, storage, Kafka planning</x:v>
      </x:c>
      <x:c r="C28" s="15" t="str">
        <x:v>CVIS / Platform</x:v>
      </x:c>
      <x:c r="D28" s="20" t="n">
        <x:v>46273</x:v>
      </x:c>
      <x:c r="E28" s="15" t="str">
        <x:v>Not Started</x:v>
      </x:c>
      <x:c r="F28" s="15" t="str">
        <x:v>OCP / Kafka / Storage</x:v>
      </x:c>
      <x:c r="G28" s="15" t="str">
        <x:v>Schedule Dependencies</x:v>
      </x:c>
      <x:c r="H28" s="15" t="str"/>
      <x:c r="I28" s="40"/>
      <x:c r="J28" s="40"/>
      <x:c r="K28" s="40"/>
      <x:c r="L28" s="40"/>
    </x:row>
    <x:row r="29">
      <x:c r="A29" s="15" t="str">
        <x:v>Sprints 18-21 Unity shared services</x:v>
      </x:c>
      <x:c r="B29" s="15" t="str">
        <x:v>Workflow engine, orchestration, rules engine, messaging layer</x:v>
      </x:c>
      <x:c r="C29" s="15" t="str">
        <x:v>CVIS</x:v>
      </x:c>
      <x:c r="D29" s="20" t="n">
        <x:v>46315</x:v>
      </x:c>
      <x:c r="E29" s="15" t="str">
        <x:v>Not Started</x:v>
      </x:c>
      <x:c r="F29" s="15" t="str">
        <x:v>Platform readiness</x:v>
      </x:c>
      <x:c r="G29" s="15" t="str">
        <x:v>Sprint Deliverables</x:v>
      </x:c>
      <x:c r="H29" s="15" t="str"/>
      <x:c r="I29" s="40"/>
      <x:c r="J29" s="40"/>
      <x:c r="K29" s="40"/>
      <x:c r="L29" s="40"/>
    </x:row>
    <x:row r="30">
      <x:c r="A30" s="15" t="str">
        <x:v>Sprints 19-20 first refactor wave</x:v>
      </x:c>
      <x:c r="B30" s="15" t="str">
        <x:v>Begin first modernization/refactor wave</x:v>
      </x:c>
      <x:c r="C30" s="15" t="str">
        <x:v>CVIS</x:v>
      </x:c>
      <x:c r="D30" s="20" t="n">
        <x:v>46301</x:v>
      </x:c>
      <x:c r="E30" s="15" t="str">
        <x:v>Not Started</x:v>
      </x:c>
      <x:c r="F30" s="15" t="str">
        <x:v>Architecture / access</x:v>
      </x:c>
      <x:c r="G30" s="15" t="str">
        <x:v>Sprint Deliverables</x:v>
      </x:c>
      <x:c r="H30" s="15" t="str"/>
      <x:c r="I30" s="40"/>
      <x:c r="J30" s="40"/>
      <x:c r="K30" s="40"/>
      <x:c r="L30" s="40"/>
    </x:row>
    <x:row r="31">
      <x:c r="A31" s="15" t="str">
        <x:v>Sprints 19-23 NFR execution</x:v>
      </x:c>
      <x:c r="B31" s="15" t="str">
        <x:v>NFR implementation and compliance execution</x:v>
      </x:c>
      <x:c r="C31" s="15" t="str">
        <x:v>CVIS / NFR Review</x:v>
      </x:c>
      <x:c r="D31" s="20" t="n">
        <x:v>46343</x:v>
      </x:c>
      <x:c r="E31" s="15" t="str">
        <x:v>Not Started</x:v>
      </x:c>
      <x:c r="F31" s="15" t="str">
        <x:v>NFR Review</x:v>
      </x:c>
      <x:c r="G31" s="15" t="str">
        <x:v>Sprint Deliverables</x:v>
      </x:c>
      <x:c r="H31" s="15" t="str"/>
      <x:c r="I31" s="40"/>
      <x:c r="J31" s="40"/>
      <x:c r="K31" s="40"/>
      <x:c r="L31" s="40"/>
    </x:row>
    <x:row r="32">
      <x:c r="A32" s="15" t="str">
        <x:v>Sprints 21-22 validation</x:v>
      </x:c>
      <x:c r="B32" s="15" t="str">
        <x:v>Testing, validation, defect correction</x:v>
      </x:c>
      <x:c r="C32" s="15" t="str">
        <x:v>CVIS</x:v>
      </x:c>
      <x:c r="D32" s="20" t="n">
        <x:v>46329</x:v>
      </x:c>
      <x:c r="E32" s="15" t="str">
        <x:v>Not Started</x:v>
      </x:c>
      <x:c r="F32" s="15" t="str">
        <x:v>Environment consistency</x:v>
      </x:c>
      <x:c r="G32" s="15" t="str">
        <x:v>NGDC Environments</x:v>
      </x:c>
      <x:c r="H32" s="15" t="str"/>
      <x:c r="I32" s="40"/>
      <x:c r="J32" s="40"/>
      <x:c r="K32" s="40"/>
      <x:c r="L32" s="40"/>
    </x:row>
  </x:sheetData>
  <x:mergeCells>
    <x:mergeCell ref="A1:L1"/>
    <x:mergeCell ref="A2:L2"/>
    <x:mergeCell ref="A4:L4"/>
  </x:mergeCells>
  <x:conditionalFormatting sqref="B12:B21">
    <x:cfRule type="containsText" dxfId="110" priority="1" operator="containsText" text="Green"/>
    <x:cfRule type="containsText" dxfId="111" priority="2" operator="containsText" text="Yellow"/>
    <x:cfRule type="containsText" dxfId="112" priority="3" operator="containsText" text="Red"/>
  </x:conditionalFormatting>
  <x:conditionalFormatting sqref="E25:E32">
    <x:cfRule type="containsText" dxfId="113" priority="4" operator="containsText" text="Complete"/>
    <x:cfRule type="containsText" dxfId="114" priority="5" operator="containsText" text="Blocked"/>
    <x:cfRule type="containsText" dxfId="115" priority="6" operator="containsText" text="At Risk"/>
    <x:cfRule type="containsText" dxfId="116" priority="7" operator="containsText" text="In Progre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0" hidden="0" customWidth="1"/>
    <x:col min="4" max="4" width="18" hidden="0" customWidth="1"/>
    <x:col min="5" max="5" width="24" hidden="0" customWidth="1"/>
    <x:col min="6" max="6" width="18" hidden="0" customWidth="1"/>
    <x:col min="7" max="7" width="22" hidden="0" customWidth="1"/>
    <x:col min="8" max="8" width="24" hidden="0" customWidth="1"/>
    <x:col min="9" max="9" width="44" hidden="0" customWidth="1"/>
    <x:col min="10" max="10" width="14" hidden="0" customWidth="1"/>
    <x:col min="11" max="11" width="30" hidden="0" customWidth="1"/>
    <x:col min="12" max="12" width="12" hidden="0" customWidth="1"/>
    <x:col min="13" max="13" width="18" hidden="0" customWidth="1"/>
    <x:col min="14" max="14" width="18" hidden="0" customWidth="1"/>
    <x:col min="15" max="15" width="14" hidden="0" customWidth="1"/>
    <x:col min="16" max="16" width="44" hidden="0" customWidth="1"/>
  </x:cols>
  <x:sheetData>
    <x:row r="1" ht="30" customHeight="1">
      <x:c r="A1" s="38" t="str">
        <x:v>Data Intake Queue</x:v>
      </x:c>
      <x:c r="B1" s="38" t="str">
        <x:v>Data Intake Queue</x:v>
      </x:c>
      <x:c r="C1" s="38" t="str">
        <x:v>Data Intake Queue</x:v>
      </x:c>
      <x:c r="D1" s="38" t="str">
        <x:v>Data Intake Queue</x:v>
      </x:c>
      <x:c r="E1" s="38" t="str">
        <x:v>Data Intake Queue</x:v>
      </x:c>
      <x:c r="F1" s="38" t="str">
        <x:v>Data Intake Queue</x:v>
      </x:c>
      <x:c r="G1" s="38" t="str">
        <x:v>Data Intake Queue</x:v>
      </x:c>
      <x:c r="H1" s="38" t="str">
        <x:v>Data Intake Queue</x:v>
      </x:c>
      <x:c r="I1" s="38" t="str">
        <x:v>Data Intake Queue</x:v>
      </x:c>
      <x:c r="J1" s="38" t="str">
        <x:v>Data Intake Queue</x:v>
      </x:c>
      <x:c r="K1" s="38" t="str">
        <x:v>Data Intake Queue</x:v>
      </x:c>
      <x:c r="L1" s="38" t="str">
        <x:v>Data Intake Queue</x:v>
      </x:c>
      <x:c r="M1" s="38" t="str">
        <x:v>Data Intake Queue</x:v>
      </x:c>
      <x:c r="N1" s="38" t="str">
        <x:v>Data Intake Queue</x:v>
      </x:c>
      <x:c r="O1" s="38" t="str">
        <x:v>Data Intake Queue</x:v>
      </x:c>
      <x:c r="P1" s="38" t="str">
        <x:v>Data Intake Queue</x:v>
      </x:c>
    </x:row>
    <x:row r="2" ht="34" customHeight="1">
      <x:c r="A2" s="39" t="str">
        <x:v>Use this as the single landing area for form entries, team updates, and WPF/app-driven changes before they are applied to source tables.</x:v>
      </x:c>
      <x:c r="B2" s="39" t="str">
        <x:v>Use this as the single landing area for form entries, team updates, and WPF/app-driven changes before they are applied to source tables.</x:v>
      </x:c>
      <x:c r="C2" s="39" t="str">
        <x:v>Use this as the single landing area for form entries, team updates, and WPF/app-driven changes before they are applied to source tables.</x:v>
      </x:c>
      <x:c r="D2" s="39" t="str">
        <x:v>Use this as the single landing area for form entries, team updates, and WPF/app-driven changes before they are applied to source tables.</x:v>
      </x:c>
      <x:c r="E2" s="39" t="str">
        <x:v>Use this as the single landing area for form entries, team updates, and WPF/app-driven changes before they are applied to source tables.</x:v>
      </x:c>
      <x:c r="F2" s="39" t="str">
        <x:v>Use this as the single landing area for form entries, team updates, and WPF/app-driven changes before they are applied to source tables.</x:v>
      </x:c>
      <x:c r="G2" s="39" t="str">
        <x:v>Use this as the single landing area for form entries, team updates, and WPF/app-driven changes before they are applied to source tables.</x:v>
      </x:c>
      <x:c r="H2" s="39" t="str">
        <x:v>Use this as the single landing area for form entries, team updates, and WPF/app-driven changes before they are applied to source tables.</x:v>
      </x:c>
      <x:c r="I2" s="39" t="str">
        <x:v>Use this as the single landing area for form entries, team updates, and WPF/app-driven changes before they are applied to source tables.</x:v>
      </x:c>
      <x:c r="J2" s="39" t="str">
        <x:v>Use this as the single landing area for form entries, team updates, and WPF/app-driven changes before they are applied to source tables.</x:v>
      </x:c>
      <x:c r="K2" s="39" t="str">
        <x:v>Use this as the single landing area for form entries, team updates, and WPF/app-driven changes before they are applied to source tables.</x:v>
      </x:c>
      <x:c r="L2" s="39" t="str">
        <x:v>Use this as the single landing area for form entries, team updates, and WPF/app-driven changes before they are applied to source tables.</x:v>
      </x:c>
      <x:c r="M2" s="39" t="str">
        <x:v>Use this as the single landing area for form entries, team updates, and WPF/app-driven changes before they are applied to source tables.</x:v>
      </x:c>
      <x:c r="N2" s="39" t="str">
        <x:v>Use this as the single landing area for form entries, team updates, and WPF/app-driven changes before they are applied to source tables.</x:v>
      </x:c>
      <x:c r="O2" s="39" t="str">
        <x:v>Use this as the single landing area for form entries, team updates, and WPF/app-driven changes before they are applied to source tables.</x:v>
      </x:c>
      <x:c r="P2" s="39" t="str">
        <x:v>Use this as the single landing area for form entries, team updates, and WPF/app-driven changes before they are applied to source tables.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</x:row>
    <x:row r="4" ht="34" customHeight="1">
      <x:c r="A4" s="44" t="str">
        <x:v>Intake ID</x:v>
      </x:c>
      <x:c r="B4" s="44" t="str">
        <x:v>Submitted Date</x:v>
      </x:c>
      <x:c r="C4" s="44" t="str">
        <x:v>Submitted By</x:v>
      </x:c>
      <x:c r="D4" s="44" t="str">
        <x:v>Update Type</x:v>
      </x:c>
      <x:c r="E4" s="44" t="str">
        <x:v>Target Table</x:v>
      </x:c>
      <x:c r="F4" s="44" t="str">
        <x:v>Record Key Field</x:v>
      </x:c>
      <x:c r="G4" s="44" t="str">
        <x:v>Record Key Value</x:v>
      </x:c>
      <x:c r="H4" s="44" t="str">
        <x:v>Field To Update</x:v>
      </x:c>
      <x:c r="I4" s="44" t="str">
        <x:v>New Value</x:v>
      </x:c>
      <x:c r="J4" s="44" t="str">
        <x:v>Effective Date</x:v>
      </x:c>
      <x:c r="K4" s="44" t="str">
        <x:v>Source File</x:v>
      </x:c>
      <x:c r="L4" s="44" t="str">
        <x:v>Source Row</x:v>
      </x:c>
      <x:c r="M4" s="44" t="str">
        <x:v>Review Status</x:v>
      </x:c>
      <x:c r="N4" s="44" t="str">
        <x:v>Reviewed By</x:v>
      </x:c>
      <x:c r="O4" s="44" t="str">
        <x:v>Applied Date</x:v>
      </x:c>
      <x:c r="P4" s="44" t="str">
        <x:v>Notes</x:v>
      </x:c>
    </x:row>
    <x:row r="5">
      <x:c r="A5" s="15" t="str">
        <x:v>IN-001</x:v>
      </x:c>
      <x:c r="B5" s="20" t="n">
        <x:v>46249</x:v>
      </x:c>
      <x:c r="C5" s="15" t="str">
        <x:v>Larry / CVIS</x:v>
      </x:c>
      <x:c r="D5" s="15" t="str">
        <x:v>Bulk Import</x:v>
      </x:c>
      <x:c r="E5" s="15" t="str">
        <x:v>Application Inventory</x:v>
      </x:c>
      <x:c r="F5" s="15" t="str">
        <x:v>Source Row</x:v>
      </x:c>
      <x:c r="G5" s="15" t="str">
        <x:v>3-44</x:v>
      </x:c>
      <x:c r="H5" s="15" t="str">
        <x:v>Initial screenshot inventory</x:v>
      </x:c>
      <x:c r="I5" s="15" t="str">
        <x:v>42 application/tool/component records loaded</x:v>
      </x:c>
      <x:c r="J5" s="20" t="n">
        <x:v>46249</x:v>
      </x:c>
      <x:c r="K5" s="15" t="str">
        <x:v>PXL_20260816_012056922.MP.zip</x:v>
      </x:c>
      <x:c r="L5" s="15" t="str">
        <x:v>3-44</x:v>
      </x:c>
      <x:c r="M5" s="15" t="str">
        <x:v>Applied</x:v>
      </x:c>
      <x:c r="N5" s="15" t="str">
        <x:v>CVIS</x:v>
      </x:c>
      <x:c r="O5" s="20" t="n">
        <x:v>46249</x:v>
      </x:c>
      <x:c r="P5" s="15" t="str">
        <x:v>OCR-derived fields require owner validation.</x:v>
      </x:c>
    </x:row>
    <x:row r="6">
      <x:c r="A6" s="15" t="str">
        <x:v>IN-002</x:v>
      </x:c>
      <x:c r="B6" s="20"/>
      <x:c r="C6" s="15" t="str"/>
      <x:c r="D6" s="15" t="str">
        <x:v>Form Update</x:v>
      </x:c>
      <x:c r="E6" s="15" t="str">
        <x:v>Application Inventory</x:v>
      </x:c>
      <x:c r="F6" s="15" t="str">
        <x:v>App ID</x:v>
      </x:c>
      <x:c r="G6" s="15" t="str"/>
      <x:c r="H6" s="15" t="str">
        <x:v>Owner</x:v>
      </x:c>
      <x:c r="I6" s="15" t="str"/>
      <x:c r="J6" s="20"/>
      <x:c r="K6" s="15" t="str"/>
      <x:c r="L6" s="15" t="str"/>
      <x:c r="M6" s="15" t="str">
        <x:v>Pending Review</x:v>
      </x:c>
      <x:c r="N6" s="15" t="str"/>
      <x:c r="O6" s="20"/>
      <x:c r="P6" s="15" t="str">
        <x:v>Use this pattern when a team member gives one app owner update.</x:v>
      </x:c>
    </x:row>
    <x:row r="7">
      <x:c r="A7" s="15" t="str">
        <x:v>IN-003</x:v>
      </x:c>
      <x:c r="B7" s="20"/>
      <x:c r="C7" s="15" t="str"/>
      <x:c r="D7" s="15" t="str">
        <x:v>Form Update</x:v>
      </x:c>
      <x:c r="E7" s="15" t="str">
        <x:v>At-Risk Register</x:v>
      </x:c>
      <x:c r="F7" s="15" t="str">
        <x:v>Item</x:v>
      </x:c>
      <x:c r="G7" s="15" t="str"/>
      <x:c r="H7" s="15" t="str">
        <x:v>Action Plan</x:v>
      </x:c>
      <x:c r="I7" s="15" t="str"/>
      <x:c r="J7" s="20"/>
      <x:c r="K7" s="15" t="str"/>
      <x:c r="L7" s="15" t="str"/>
      <x:c r="M7" s="15" t="str">
        <x:v>Pending Review</x:v>
      </x:c>
      <x:c r="N7" s="15" t="str"/>
      <x:c r="O7" s="20"/>
      <x:c r="P7" s="15" t="str">
        <x:v>Use this pattern when a red/yellow item gets a new recovery action.</x:v>
      </x:c>
    </x:row>
    <x:row r="8">
      <x:c r="A8" s="15" t="str"/>
      <x:c r="B8" s="20" t="str"/>
      <x:c r="C8" s="15" t="str"/>
      <x:c r="D8" s="15" t="str"/>
      <x:c r="E8" s="15" t="str"/>
      <x:c r="F8" s="15" t="str"/>
      <x:c r="G8" s="15" t="str"/>
      <x:c r="H8" s="15" t="str"/>
      <x:c r="I8" s="15" t="str"/>
      <x:c r="J8" s="20" t="str"/>
      <x:c r="K8" s="15" t="str"/>
      <x:c r="L8" s="15" t="str"/>
      <x:c r="M8" s="15" t="str"/>
      <x:c r="N8" s="15" t="str"/>
      <x:c r="O8" s="20" t="str"/>
      <x:c r="P8" s="15" t="str"/>
    </x:row>
    <x:row r="9">
      <x:c r="A9" s="15" t="str"/>
      <x:c r="B9" s="20" t="str"/>
      <x:c r="C9" s="15" t="str"/>
      <x:c r="D9" s="15" t="str"/>
      <x:c r="E9" s="15" t="str"/>
      <x:c r="F9" s="15" t="str"/>
      <x:c r="G9" s="15" t="str"/>
      <x:c r="H9" s="15" t="str"/>
      <x:c r="I9" s="15" t="str"/>
      <x:c r="J9" s="20" t="str"/>
      <x:c r="K9" s="15" t="str"/>
      <x:c r="L9" s="15" t="str"/>
      <x:c r="M9" s="15" t="str"/>
      <x:c r="N9" s="15" t="str"/>
      <x:c r="O9" s="20" t="str"/>
      <x:c r="P9" s="15" t="str"/>
    </x:row>
    <x:row r="10">
      <x:c r="A10" s="15" t="str"/>
      <x:c r="B10" s="20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20" t="str"/>
      <x:c r="K10" s="15" t="str"/>
      <x:c r="L10" s="15" t="str"/>
      <x:c r="M10" s="15" t="str"/>
      <x:c r="N10" s="15" t="str"/>
      <x:c r="O10" s="20" t="str"/>
      <x:c r="P10" s="15" t="str"/>
    </x:row>
    <x:row r="11">
      <x:c r="A11" s="15" t="str"/>
      <x:c r="B11" s="20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20" t="str"/>
      <x:c r="K11" s="15" t="str"/>
      <x:c r="L11" s="15" t="str"/>
      <x:c r="M11" s="15" t="str"/>
      <x:c r="N11" s="15" t="str"/>
      <x:c r="O11" s="20" t="str"/>
      <x:c r="P11" s="15" t="str"/>
    </x:row>
    <x:row r="12">
      <x:c r="A12" s="15" t="str"/>
      <x:c r="B12" s="20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20" t="str"/>
      <x:c r="K12" s="15" t="str"/>
      <x:c r="L12" s="15" t="str"/>
      <x:c r="M12" s="15" t="str"/>
      <x:c r="N12" s="15" t="str"/>
      <x:c r="O12" s="20" t="str"/>
      <x:c r="P12" s="15" t="str"/>
    </x:row>
    <x:row r="13">
      <x:c r="A13" s="15" t="str"/>
      <x:c r="B13" s="20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20" t="str"/>
      <x:c r="K13" s="15" t="str"/>
      <x:c r="L13" s="15" t="str"/>
      <x:c r="M13" s="15" t="str"/>
      <x:c r="N13" s="15" t="str"/>
      <x:c r="O13" s="20" t="str"/>
      <x:c r="P13" s="15" t="str"/>
    </x:row>
    <x:row r="14">
      <x:c r="A14" s="15" t="str"/>
      <x:c r="B14" s="20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20" t="str"/>
      <x:c r="K14" s="15" t="str"/>
      <x:c r="L14" s="15" t="str"/>
      <x:c r="M14" s="15" t="str"/>
      <x:c r="N14" s="15" t="str"/>
      <x:c r="O14" s="20" t="str"/>
      <x:c r="P14" s="15" t="str"/>
    </x:row>
    <x:row r="15">
      <x:c r="A15" s="15" t="str"/>
      <x:c r="B15" s="20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20" t="str"/>
      <x:c r="K15" s="15" t="str"/>
      <x:c r="L15" s="15" t="str"/>
      <x:c r="M15" s="15" t="str"/>
      <x:c r="N15" s="15" t="str"/>
      <x:c r="O15" s="20" t="str"/>
      <x:c r="P15" s="15" t="str"/>
    </x:row>
    <x:row r="16">
      <x:c r="A16" s="15" t="str"/>
      <x:c r="B16" s="20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20" t="str"/>
      <x:c r="K16" s="15" t="str"/>
      <x:c r="L16" s="15" t="str"/>
      <x:c r="M16" s="15" t="str"/>
      <x:c r="N16" s="15" t="str"/>
      <x:c r="O16" s="20" t="str"/>
      <x:c r="P16" s="15" t="str"/>
    </x:row>
    <x:row r="17">
      <x:c r="A17" s="15" t="str"/>
      <x:c r="B17" s="20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20" t="str"/>
      <x:c r="K17" s="15" t="str"/>
      <x:c r="L17" s="15" t="str"/>
      <x:c r="M17" s="15" t="str"/>
      <x:c r="N17" s="15" t="str"/>
      <x:c r="O17" s="20" t="str"/>
      <x:c r="P17" s="15" t="str"/>
    </x:row>
    <x:row r="18">
      <x:c r="A18" s="15" t="str"/>
      <x:c r="B18" s="20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20" t="str"/>
      <x:c r="K18" s="15" t="str"/>
      <x:c r="L18" s="15" t="str"/>
      <x:c r="M18" s="15" t="str"/>
      <x:c r="N18" s="15" t="str"/>
      <x:c r="O18" s="20" t="str"/>
      <x:c r="P18" s="15" t="str"/>
    </x:row>
    <x:row r="19">
      <x:c r="A19" s="15" t="str"/>
      <x:c r="B19" s="20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20" t="str"/>
      <x:c r="K19" s="15" t="str"/>
      <x:c r="L19" s="15" t="str"/>
      <x:c r="M19" s="15" t="str"/>
      <x:c r="N19" s="15" t="str"/>
      <x:c r="O19" s="20" t="str"/>
      <x:c r="P19" s="15" t="str"/>
    </x:row>
    <x:row r="20">
      <x:c r="A20" s="15" t="str"/>
      <x:c r="B20" s="20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20" t="str"/>
      <x:c r="K20" s="15" t="str"/>
      <x:c r="L20" s="15" t="str"/>
      <x:c r="M20" s="15" t="str"/>
      <x:c r="N20" s="15" t="str"/>
      <x:c r="O20" s="20" t="str"/>
      <x:c r="P20" s="15" t="str"/>
    </x:row>
    <x:row r="21">
      <x:c r="A21" s="15" t="str"/>
      <x:c r="B21" s="20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20" t="str"/>
      <x:c r="K21" s="15" t="str"/>
      <x:c r="L21" s="15" t="str"/>
      <x:c r="M21" s="15" t="str"/>
      <x:c r="N21" s="15" t="str"/>
      <x:c r="O21" s="20" t="str"/>
      <x:c r="P21" s="15" t="str"/>
    </x:row>
    <x:row r="22">
      <x:c r="A22" s="15" t="str"/>
      <x:c r="B22" s="20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20" t="str"/>
      <x:c r="K22" s="15" t="str"/>
      <x:c r="L22" s="15" t="str"/>
      <x:c r="M22" s="15" t="str"/>
      <x:c r="N22" s="15" t="str"/>
      <x:c r="O22" s="20" t="str"/>
      <x:c r="P22" s="15" t="str"/>
    </x:row>
    <x:row r="23">
      <x:c r="A23" s="15" t="str"/>
      <x:c r="B23" s="20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20" t="str"/>
      <x:c r="K23" s="15" t="str"/>
      <x:c r="L23" s="15" t="str"/>
      <x:c r="M23" s="15" t="str"/>
      <x:c r="N23" s="15" t="str"/>
      <x:c r="O23" s="20" t="str"/>
      <x:c r="P23" s="15" t="str"/>
    </x:row>
    <x:row r="24">
      <x:c r="A24" s="15" t="str"/>
      <x:c r="B24" s="20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20" t="str"/>
      <x:c r="K24" s="15" t="str"/>
      <x:c r="L24" s="15" t="str"/>
      <x:c r="M24" s="15" t="str"/>
      <x:c r="N24" s="15" t="str"/>
      <x:c r="O24" s="20" t="str"/>
      <x:c r="P24" s="15" t="str"/>
    </x:row>
    <x:row r="25">
      <x:c r="A25" s="15" t="str"/>
      <x:c r="B25" s="20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20" t="str"/>
      <x:c r="K25" s="15" t="str"/>
      <x:c r="L25" s="15" t="str"/>
      <x:c r="M25" s="15" t="str"/>
      <x:c r="N25" s="15" t="str"/>
      <x:c r="O25" s="20" t="str"/>
      <x:c r="P25" s="15" t="str"/>
    </x:row>
    <x:row r="26">
      <x:c r="A26" s="15" t="str"/>
      <x:c r="B26" s="20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20" t="str"/>
      <x:c r="K26" s="15" t="str"/>
      <x:c r="L26" s="15" t="str"/>
      <x:c r="M26" s="15" t="str"/>
      <x:c r="N26" s="15" t="str"/>
      <x:c r="O26" s="20" t="str"/>
      <x:c r="P26" s="15" t="str"/>
    </x:row>
    <x:row r="27">
      <x:c r="A27" s="15" t="str"/>
      <x:c r="B27" s="20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20" t="str"/>
      <x:c r="K27" s="15" t="str"/>
      <x:c r="L27" s="15" t="str"/>
      <x:c r="M27" s="15" t="str"/>
      <x:c r="N27" s="15" t="str"/>
      <x:c r="O27" s="20" t="str"/>
      <x:c r="P27" s="15" t="str"/>
    </x:row>
    <x:row r="28">
      <x:c r="A28" s="15" t="str"/>
      <x:c r="B28" s="20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20" t="str"/>
      <x:c r="K28" s="15" t="str"/>
      <x:c r="L28" s="15" t="str"/>
      <x:c r="M28" s="15" t="str"/>
      <x:c r="N28" s="15" t="str"/>
      <x:c r="O28" s="20" t="str"/>
      <x:c r="P28" s="15" t="str"/>
    </x:row>
    <x:row r="29">
      <x:c r="A29" s="15" t="str"/>
      <x:c r="B29" s="20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20" t="str"/>
      <x:c r="K29" s="15" t="str"/>
      <x:c r="L29" s="15" t="str"/>
      <x:c r="M29" s="15" t="str"/>
      <x:c r="N29" s="15" t="str"/>
      <x:c r="O29" s="20" t="str"/>
      <x:c r="P29" s="15" t="str"/>
    </x:row>
    <x:row r="30">
      <x:c r="A30" s="15" t="str"/>
      <x:c r="B30" s="20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20" t="str"/>
      <x:c r="K30" s="15" t="str"/>
      <x:c r="L30" s="15" t="str"/>
      <x:c r="M30" s="15" t="str"/>
      <x:c r="N30" s="15" t="str"/>
      <x:c r="O30" s="20" t="str"/>
      <x:c r="P30" s="15" t="str"/>
    </x:row>
    <x:row r="31">
      <x:c r="A31" s="15" t="str"/>
      <x:c r="B31" s="20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20" t="str"/>
      <x:c r="K31" s="15" t="str"/>
      <x:c r="L31" s="15" t="str"/>
      <x:c r="M31" s="15" t="str"/>
      <x:c r="N31" s="15" t="str"/>
      <x:c r="O31" s="20" t="str"/>
      <x:c r="P31" s="15" t="str"/>
    </x:row>
    <x:row r="32">
      <x:c r="A32" s="15" t="str"/>
      <x:c r="B32" s="20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20" t="str"/>
      <x:c r="K32" s="15" t="str"/>
      <x:c r="L32" s="15" t="str"/>
      <x:c r="M32" s="15" t="str"/>
      <x:c r="N32" s="15" t="str"/>
      <x:c r="O32" s="20" t="str"/>
      <x:c r="P32" s="15" t="str"/>
    </x:row>
    <x:row r="33">
      <x:c r="A33" s="15" t="str"/>
      <x:c r="B33" s="20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20" t="str"/>
      <x:c r="K33" s="15" t="str"/>
      <x:c r="L33" s="15" t="str"/>
      <x:c r="M33" s="15" t="str"/>
      <x:c r="N33" s="15" t="str"/>
      <x:c r="O33" s="20" t="str"/>
      <x:c r="P33" s="15" t="str"/>
    </x:row>
    <x:row r="34">
      <x:c r="A34" s="15" t="str"/>
      <x:c r="B34" s="20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20" t="str"/>
      <x:c r="K34" s="15" t="str"/>
      <x:c r="L34" s="15" t="str"/>
      <x:c r="M34" s="15" t="str"/>
      <x:c r="N34" s="15" t="str"/>
      <x:c r="O34" s="20" t="str"/>
      <x:c r="P34" s="15" t="str"/>
    </x:row>
    <x:row r="35">
      <x:c r="A35" s="15" t="str"/>
      <x:c r="B35" s="20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20" t="str"/>
      <x:c r="K35" s="15" t="str"/>
      <x:c r="L35" s="15" t="str"/>
      <x:c r="M35" s="15" t="str"/>
      <x:c r="N35" s="15" t="str"/>
      <x:c r="O35" s="20" t="str"/>
      <x:c r="P35" s="15" t="str"/>
    </x:row>
    <x:row r="36">
      <x:c r="A36" s="15" t="str"/>
      <x:c r="B36" s="20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20" t="str"/>
      <x:c r="K36" s="15" t="str"/>
      <x:c r="L36" s="15" t="str"/>
      <x:c r="M36" s="15" t="str"/>
      <x:c r="N36" s="15" t="str"/>
      <x:c r="O36" s="20" t="str"/>
      <x:c r="P36" s="15" t="str"/>
    </x:row>
    <x:row r="37">
      <x:c r="A37" s="15" t="str"/>
      <x:c r="B37" s="20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20" t="str"/>
      <x:c r="K37" s="15" t="str"/>
      <x:c r="L37" s="15" t="str"/>
      <x:c r="M37" s="15" t="str"/>
      <x:c r="N37" s="15" t="str"/>
      <x:c r="O37" s="20" t="str"/>
      <x:c r="P37" s="15" t="str"/>
    </x:row>
    <x:row r="38">
      <x:c r="A38" s="15" t="str"/>
      <x:c r="B38" s="20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20" t="str"/>
      <x:c r="K38" s="15" t="str"/>
      <x:c r="L38" s="15" t="str"/>
      <x:c r="M38" s="15" t="str"/>
      <x:c r="N38" s="15" t="str"/>
      <x:c r="O38" s="20" t="str"/>
      <x:c r="P38" s="15" t="str"/>
    </x:row>
    <x:row r="39">
      <x:c r="A39" s="15" t="str"/>
      <x:c r="B39" s="20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20" t="str"/>
      <x:c r="K39" s="15" t="str"/>
      <x:c r="L39" s="15" t="str"/>
      <x:c r="M39" s="15" t="str"/>
      <x:c r="N39" s="15" t="str"/>
      <x:c r="O39" s="20" t="str"/>
      <x:c r="P39" s="15" t="str"/>
    </x:row>
    <x:row r="40">
      <x:c r="A40" s="15" t="str"/>
      <x:c r="B40" s="20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20" t="str"/>
      <x:c r="K40" s="15" t="str"/>
      <x:c r="L40" s="15" t="str"/>
      <x:c r="M40" s="15" t="str"/>
      <x:c r="N40" s="15" t="str"/>
      <x:c r="O40" s="20" t="str"/>
      <x:c r="P40" s="15" t="str"/>
    </x:row>
    <x:row r="41">
      <x:c r="A41" s="15" t="str"/>
      <x:c r="B41" s="20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20" t="str"/>
      <x:c r="K41" s="15" t="str"/>
      <x:c r="L41" s="15" t="str"/>
      <x:c r="M41" s="15" t="str"/>
      <x:c r="N41" s="15" t="str"/>
      <x:c r="O41" s="20" t="str"/>
      <x:c r="P41" s="15" t="str"/>
    </x:row>
    <x:row r="42">
      <x:c r="A42" s="15" t="str"/>
      <x:c r="B42" s="20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20" t="str"/>
      <x:c r="K42" s="15" t="str"/>
      <x:c r="L42" s="15" t="str"/>
      <x:c r="M42" s="15" t="str"/>
      <x:c r="N42" s="15" t="str"/>
      <x:c r="O42" s="20" t="str"/>
      <x:c r="P42" s="15" t="str"/>
    </x:row>
    <x:row r="43">
      <x:c r="A43" s="15" t="str"/>
      <x:c r="B43" s="20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20" t="str"/>
      <x:c r="K43" s="15" t="str"/>
      <x:c r="L43" s="15" t="str"/>
      <x:c r="M43" s="15" t="str"/>
      <x:c r="N43" s="15" t="str"/>
      <x:c r="O43" s="20" t="str"/>
      <x:c r="P43" s="15" t="str"/>
    </x:row>
    <x:row r="44">
      <x:c r="A44" s="15" t="str"/>
      <x:c r="B44" s="20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20" t="str"/>
      <x:c r="K44" s="15" t="str"/>
      <x:c r="L44" s="15" t="str"/>
      <x:c r="M44" s="15" t="str"/>
      <x:c r="N44" s="15" t="str"/>
      <x:c r="O44" s="20" t="str"/>
      <x:c r="P44" s="15" t="str"/>
    </x:row>
    <x:row r="45">
      <x:c r="A45" s="15" t="str"/>
      <x:c r="B45" s="20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20" t="str"/>
      <x:c r="K45" s="15" t="str"/>
      <x:c r="L45" s="15" t="str"/>
      <x:c r="M45" s="15" t="str"/>
      <x:c r="N45" s="15" t="str"/>
      <x:c r="O45" s="20" t="str"/>
      <x:c r="P45" s="15" t="str"/>
    </x:row>
    <x:row r="46">
      <x:c r="A46" s="15" t="str"/>
      <x:c r="B46" s="20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20" t="str"/>
      <x:c r="K46" s="15" t="str"/>
      <x:c r="L46" s="15" t="str"/>
      <x:c r="M46" s="15" t="str"/>
      <x:c r="N46" s="15" t="str"/>
      <x:c r="O46" s="20" t="str"/>
      <x:c r="P46" s="15" t="str"/>
    </x:row>
    <x:row r="47">
      <x:c r="A47" s="15" t="str"/>
      <x:c r="B47" s="20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20" t="str"/>
      <x:c r="K47" s="15" t="str"/>
      <x:c r="L47" s="15" t="str"/>
      <x:c r="M47" s="15" t="str"/>
      <x:c r="N47" s="15" t="str"/>
      <x:c r="O47" s="20" t="str"/>
      <x:c r="P47" s="15" t="str"/>
    </x:row>
    <x:row r="48">
      <x:c r="A48" s="15" t="str"/>
      <x:c r="B48" s="20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20" t="str"/>
      <x:c r="K48" s="15" t="str"/>
      <x:c r="L48" s="15" t="str"/>
      <x:c r="M48" s="15" t="str"/>
      <x:c r="N48" s="15" t="str"/>
      <x:c r="O48" s="20" t="str"/>
      <x:c r="P48" s="15" t="str"/>
    </x:row>
    <x:row r="49">
      <x:c r="A49" s="15" t="str"/>
      <x:c r="B49" s="20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20" t="str"/>
      <x:c r="K49" s="15" t="str"/>
      <x:c r="L49" s="15" t="str"/>
      <x:c r="M49" s="15" t="str"/>
      <x:c r="N49" s="15" t="str"/>
      <x:c r="O49" s="20" t="str"/>
      <x:c r="P49" s="15" t="str"/>
    </x:row>
    <x:row r="50">
      <x:c r="A50" s="15" t="str"/>
      <x:c r="B50" s="20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20" t="str"/>
      <x:c r="K50" s="15" t="str"/>
      <x:c r="L50" s="15" t="str"/>
      <x:c r="M50" s="15" t="str"/>
      <x:c r="N50" s="15" t="str"/>
      <x:c r="O50" s="20" t="str"/>
      <x:c r="P50" s="15" t="str"/>
    </x:row>
    <x:row r="51">
      <x:c r="A51" s="15" t="str"/>
      <x:c r="B51" s="20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20" t="str"/>
      <x:c r="K51" s="15" t="str"/>
      <x:c r="L51" s="15" t="str"/>
      <x:c r="M51" s="15" t="str"/>
      <x:c r="N51" s="15" t="str"/>
      <x:c r="O51" s="20" t="str"/>
      <x:c r="P51" s="15" t="str"/>
    </x:row>
    <x:row r="52">
      <x:c r="A52" s="15" t="str"/>
      <x:c r="B52" s="20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20" t="str"/>
      <x:c r="K52" s="15" t="str"/>
      <x:c r="L52" s="15" t="str"/>
      <x:c r="M52" s="15" t="str"/>
      <x:c r="N52" s="15" t="str"/>
      <x:c r="O52" s="20" t="str"/>
      <x:c r="P52" s="15" t="str"/>
    </x:row>
    <x:row r="53">
      <x:c r="A53" s="15" t="str"/>
      <x:c r="B53" s="20" t="str"/>
      <x:c r="C53" s="15" t="str"/>
      <x:c r="D53" s="15" t="str"/>
      <x:c r="E53" s="15" t="str"/>
      <x:c r="F53" s="15" t="str"/>
      <x:c r="G53" s="15" t="str"/>
      <x:c r="H53" s="15" t="str"/>
      <x:c r="I53" s="15" t="str"/>
      <x:c r="J53" s="20" t="str"/>
      <x:c r="K53" s="15" t="str"/>
      <x:c r="L53" s="15" t="str"/>
      <x:c r="M53" s="15" t="str"/>
      <x:c r="N53" s="15" t="str"/>
      <x:c r="O53" s="20" t="str"/>
      <x:c r="P53" s="15" t="str"/>
    </x:row>
    <x:row r="54">
      <x:c r="A54" s="15" t="str"/>
      <x:c r="B54" s="20" t="str"/>
      <x:c r="C54" s="15" t="str"/>
      <x:c r="D54" s="15" t="str"/>
      <x:c r="E54" s="15" t="str"/>
      <x:c r="F54" s="15" t="str"/>
      <x:c r="G54" s="15" t="str"/>
      <x:c r="H54" s="15" t="str"/>
      <x:c r="I54" s="15" t="str"/>
      <x:c r="J54" s="20" t="str"/>
      <x:c r="K54" s="15" t="str"/>
      <x:c r="L54" s="15" t="str"/>
      <x:c r="M54" s="15" t="str"/>
      <x:c r="N54" s="15" t="str"/>
      <x:c r="O54" s="20" t="str"/>
      <x:c r="P54" s="15" t="str"/>
    </x:row>
    <x:row r="55">
      <x:c r="A55" s="15" t="str"/>
      <x:c r="B55" s="20" t="str"/>
      <x:c r="C55" s="15" t="str"/>
      <x:c r="D55" s="15" t="str"/>
      <x:c r="E55" s="15" t="str"/>
      <x:c r="F55" s="15" t="str"/>
      <x:c r="G55" s="15" t="str"/>
      <x:c r="H55" s="15" t="str"/>
      <x:c r="I55" s="15" t="str"/>
      <x:c r="J55" s="20" t="str"/>
      <x:c r="K55" s="15" t="str"/>
      <x:c r="L55" s="15" t="str"/>
      <x:c r="M55" s="15" t="str"/>
      <x:c r="N55" s="15" t="str"/>
      <x:c r="O55" s="20" t="str"/>
      <x:c r="P55" s="15" t="str"/>
    </x:row>
    <x:row r="56">
      <x:c r="A56" s="15" t="str"/>
      <x:c r="B56" s="20" t="str"/>
      <x:c r="C56" s="15" t="str"/>
      <x:c r="D56" s="15" t="str"/>
      <x:c r="E56" s="15" t="str"/>
      <x:c r="F56" s="15" t="str"/>
      <x:c r="G56" s="15" t="str"/>
      <x:c r="H56" s="15" t="str"/>
      <x:c r="I56" s="15" t="str"/>
      <x:c r="J56" s="20" t="str"/>
      <x:c r="K56" s="15" t="str"/>
      <x:c r="L56" s="15" t="str"/>
      <x:c r="M56" s="15" t="str"/>
      <x:c r="N56" s="15" t="str"/>
      <x:c r="O56" s="20" t="str"/>
      <x:c r="P56" s="15" t="str"/>
    </x:row>
    <x:row r="57">
      <x:c r="A57" s="15" t="str"/>
      <x:c r="B57" s="20" t="str"/>
      <x:c r="C57" s="15" t="str"/>
      <x:c r="D57" s="15" t="str"/>
      <x:c r="E57" s="15" t="str"/>
      <x:c r="F57" s="15" t="str"/>
      <x:c r="G57" s="15" t="str"/>
      <x:c r="H57" s="15" t="str"/>
      <x:c r="I57" s="15" t="str"/>
      <x:c r="J57" s="20" t="str"/>
      <x:c r="K57" s="15" t="str"/>
      <x:c r="L57" s="15" t="str"/>
      <x:c r="M57" s="15" t="str"/>
      <x:c r="N57" s="15" t="str"/>
      <x:c r="O57" s="20" t="str"/>
      <x:c r="P57" s="15" t="str"/>
    </x:row>
    <x:row r="58">
      <x:c r="A58" s="15" t="str"/>
      <x:c r="B58" s="20" t="str"/>
      <x:c r="C58" s="15" t="str"/>
      <x:c r="D58" s="15" t="str"/>
      <x:c r="E58" s="15" t="str"/>
      <x:c r="F58" s="15" t="str"/>
      <x:c r="G58" s="15" t="str"/>
      <x:c r="H58" s="15" t="str"/>
      <x:c r="I58" s="15" t="str"/>
      <x:c r="J58" s="20" t="str"/>
      <x:c r="K58" s="15" t="str"/>
      <x:c r="L58" s="15" t="str"/>
      <x:c r="M58" s="15" t="str"/>
      <x:c r="N58" s="15" t="str"/>
      <x:c r="O58" s="20" t="str"/>
      <x:c r="P58" s="15" t="str"/>
    </x:row>
    <x:row r="59">
      <x:c r="A59" s="15" t="str"/>
      <x:c r="B59" s="20" t="str"/>
      <x:c r="C59" s="15" t="str"/>
      <x:c r="D59" s="15" t="str"/>
      <x:c r="E59" s="15" t="str"/>
      <x:c r="F59" s="15" t="str"/>
      <x:c r="G59" s="15" t="str"/>
      <x:c r="H59" s="15" t="str"/>
      <x:c r="I59" s="15" t="str"/>
      <x:c r="J59" s="20" t="str"/>
      <x:c r="K59" s="15" t="str"/>
      <x:c r="L59" s="15" t="str"/>
      <x:c r="M59" s="15" t="str"/>
      <x:c r="N59" s="15" t="str"/>
      <x:c r="O59" s="20" t="str"/>
      <x:c r="P59" s="15" t="str"/>
    </x:row>
    <x:row r="60">
      <x:c r="A60" s="15" t="str"/>
      <x:c r="B60" s="20" t="str"/>
      <x:c r="C60" s="15" t="str"/>
      <x:c r="D60" s="15" t="str"/>
      <x:c r="E60" s="15" t="str"/>
      <x:c r="F60" s="15" t="str"/>
      <x:c r="G60" s="15" t="str"/>
      <x:c r="H60" s="15" t="str"/>
      <x:c r="I60" s="15" t="str"/>
      <x:c r="J60" s="20" t="str"/>
      <x:c r="K60" s="15" t="str"/>
      <x:c r="L60" s="15" t="str"/>
      <x:c r="M60" s="15" t="str"/>
      <x:c r="N60" s="15" t="str"/>
      <x:c r="O60" s="20" t="str"/>
      <x:c r="P60" s="15" t="str"/>
    </x:row>
    <x:row r="61">
      <x:c r="A61" s="15" t="str"/>
      <x:c r="B61" s="20" t="str"/>
      <x:c r="C61" s="15" t="str"/>
      <x:c r="D61" s="15" t="str"/>
      <x:c r="E61" s="15" t="str"/>
      <x:c r="F61" s="15" t="str"/>
      <x:c r="G61" s="15" t="str"/>
      <x:c r="H61" s="15" t="str"/>
      <x:c r="I61" s="15" t="str"/>
      <x:c r="J61" s="20" t="str"/>
      <x:c r="K61" s="15" t="str"/>
      <x:c r="L61" s="15" t="str"/>
      <x:c r="M61" s="15" t="str"/>
      <x:c r="N61" s="15" t="str"/>
      <x:c r="O61" s="20" t="str"/>
      <x:c r="P61" s="15" t="str"/>
    </x:row>
    <x:row r="62">
      <x:c r="A62" s="15" t="str"/>
      <x:c r="B62" s="20" t="str"/>
      <x:c r="C62" s="15" t="str"/>
      <x:c r="D62" s="15" t="str"/>
      <x:c r="E62" s="15" t="str"/>
      <x:c r="F62" s="15" t="str"/>
      <x:c r="G62" s="15" t="str"/>
      <x:c r="H62" s="15" t="str"/>
      <x:c r="I62" s="15" t="str"/>
      <x:c r="J62" s="20" t="str"/>
      <x:c r="K62" s="15" t="str"/>
      <x:c r="L62" s="15" t="str"/>
      <x:c r="M62" s="15" t="str"/>
      <x:c r="N62" s="15" t="str"/>
      <x:c r="O62" s="20" t="str"/>
      <x:c r="P62" s="15" t="str"/>
    </x:row>
    <x:row r="63">
      <x:c r="A63" s="15" t="str"/>
      <x:c r="B63" s="20" t="str"/>
      <x:c r="C63" s="15" t="str"/>
      <x:c r="D63" s="15" t="str"/>
      <x:c r="E63" s="15" t="str"/>
      <x:c r="F63" s="15" t="str"/>
      <x:c r="G63" s="15" t="str"/>
      <x:c r="H63" s="15" t="str"/>
      <x:c r="I63" s="15" t="str"/>
      <x:c r="J63" s="20" t="str"/>
      <x:c r="K63" s="15" t="str"/>
      <x:c r="L63" s="15" t="str"/>
      <x:c r="M63" s="15" t="str"/>
      <x:c r="N63" s="15" t="str"/>
      <x:c r="O63" s="20" t="str"/>
      <x:c r="P63" s="15" t="str"/>
    </x:row>
    <x:row r="64">
      <x:c r="A64" s="15" t="str"/>
      <x:c r="B64" s="20" t="str"/>
      <x:c r="C64" s="15" t="str"/>
      <x:c r="D64" s="15" t="str"/>
      <x:c r="E64" s="15" t="str"/>
      <x:c r="F64" s="15" t="str"/>
      <x:c r="G64" s="15" t="str"/>
      <x:c r="H64" s="15" t="str"/>
      <x:c r="I64" s="15" t="str"/>
      <x:c r="J64" s="20" t="str"/>
      <x:c r="K64" s="15" t="str"/>
      <x:c r="L64" s="15" t="str"/>
      <x:c r="M64" s="15" t="str"/>
      <x:c r="N64" s="15" t="str"/>
      <x:c r="O64" s="20" t="str"/>
      <x:c r="P64" s="15" t="str"/>
    </x:row>
    <x:row r="65">
      <x:c r="A65" s="15" t="str"/>
      <x:c r="B65" s="20" t="str"/>
      <x:c r="C65" s="15" t="str"/>
      <x:c r="D65" s="15" t="str"/>
      <x:c r="E65" s="15" t="str"/>
      <x:c r="F65" s="15" t="str"/>
      <x:c r="G65" s="15" t="str"/>
      <x:c r="H65" s="15" t="str"/>
      <x:c r="I65" s="15" t="str"/>
      <x:c r="J65" s="20" t="str"/>
      <x:c r="K65" s="15" t="str"/>
      <x:c r="L65" s="15" t="str"/>
      <x:c r="M65" s="15" t="str"/>
      <x:c r="N65" s="15" t="str"/>
      <x:c r="O65" s="20" t="str"/>
      <x:c r="P65" s="15" t="str"/>
    </x:row>
    <x:row r="66">
      <x:c r="A66" s="15" t="str"/>
      <x:c r="B66" s="20" t="str"/>
      <x:c r="C66" s="15" t="str"/>
      <x:c r="D66" s="15" t="str"/>
      <x:c r="E66" s="15" t="str"/>
      <x:c r="F66" s="15" t="str"/>
      <x:c r="G66" s="15" t="str"/>
      <x:c r="H66" s="15" t="str"/>
      <x:c r="I66" s="15" t="str"/>
      <x:c r="J66" s="20" t="str"/>
      <x:c r="K66" s="15" t="str"/>
      <x:c r="L66" s="15" t="str"/>
      <x:c r="M66" s="15" t="str"/>
      <x:c r="N66" s="15" t="str"/>
      <x:c r="O66" s="20" t="str"/>
      <x:c r="P66" s="15" t="str"/>
    </x:row>
    <x:row r="67">
      <x:c r="A67" s="15" t="str"/>
      <x:c r="B67" s="20" t="str"/>
      <x:c r="C67" s="15" t="str"/>
      <x:c r="D67" s="15" t="str"/>
      <x:c r="E67" s="15" t="str"/>
      <x:c r="F67" s="15" t="str"/>
      <x:c r="G67" s="15" t="str"/>
      <x:c r="H67" s="15" t="str"/>
      <x:c r="I67" s="15" t="str"/>
      <x:c r="J67" s="20" t="str"/>
      <x:c r="K67" s="15" t="str"/>
      <x:c r="L67" s="15" t="str"/>
      <x:c r="M67" s="15" t="str"/>
      <x:c r="N67" s="15" t="str"/>
      <x:c r="O67" s="20" t="str"/>
      <x:c r="P67" s="15" t="str"/>
    </x:row>
    <x:row r="68">
      <x:c r="A68" s="15" t="str"/>
      <x:c r="B68" s="20" t="str"/>
      <x:c r="C68" s="15" t="str"/>
      <x:c r="D68" s="15" t="str"/>
      <x:c r="E68" s="15" t="str"/>
      <x:c r="F68" s="15" t="str"/>
      <x:c r="G68" s="15" t="str"/>
      <x:c r="H68" s="15" t="str"/>
      <x:c r="I68" s="15" t="str"/>
      <x:c r="J68" s="20" t="str"/>
      <x:c r="K68" s="15" t="str"/>
      <x:c r="L68" s="15" t="str"/>
      <x:c r="M68" s="15" t="str"/>
      <x:c r="N68" s="15" t="str"/>
      <x:c r="O68" s="20" t="str"/>
      <x:c r="P68" s="15" t="str"/>
    </x:row>
    <x:row r="69">
      <x:c r="A69" s="15" t="str"/>
      <x:c r="B69" s="20" t="str"/>
      <x:c r="C69" s="15" t="str"/>
      <x:c r="D69" s="15" t="str"/>
      <x:c r="E69" s="15" t="str"/>
      <x:c r="F69" s="15" t="str"/>
      <x:c r="G69" s="15" t="str"/>
      <x:c r="H69" s="15" t="str"/>
      <x:c r="I69" s="15" t="str"/>
      <x:c r="J69" s="20" t="str"/>
      <x:c r="K69" s="15" t="str"/>
      <x:c r="L69" s="15" t="str"/>
      <x:c r="M69" s="15" t="str"/>
      <x:c r="N69" s="15" t="str"/>
      <x:c r="O69" s="20" t="str"/>
      <x:c r="P69" s="15" t="str"/>
    </x:row>
    <x:row r="70">
      <x:c r="A70" s="15" t="str"/>
      <x:c r="B70" s="20" t="str"/>
      <x:c r="C70" s="15" t="str"/>
      <x:c r="D70" s="15" t="str"/>
      <x:c r="E70" s="15" t="str"/>
      <x:c r="F70" s="15" t="str"/>
      <x:c r="G70" s="15" t="str"/>
      <x:c r="H70" s="15" t="str"/>
      <x:c r="I70" s="15" t="str"/>
      <x:c r="J70" s="20" t="str"/>
      <x:c r="K70" s="15" t="str"/>
      <x:c r="L70" s="15" t="str"/>
      <x:c r="M70" s="15" t="str"/>
      <x:c r="N70" s="15" t="str"/>
      <x:c r="O70" s="20" t="str"/>
      <x:c r="P70" s="15" t="str"/>
    </x:row>
    <x:row r="71">
      <x:c r="A71" s="15" t="str"/>
      <x:c r="B71" s="20" t="str"/>
      <x:c r="C71" s="15" t="str"/>
      <x:c r="D71" s="15" t="str"/>
      <x:c r="E71" s="15" t="str"/>
      <x:c r="F71" s="15" t="str"/>
      <x:c r="G71" s="15" t="str"/>
      <x:c r="H71" s="15" t="str"/>
      <x:c r="I71" s="15" t="str"/>
      <x:c r="J71" s="20" t="str"/>
      <x:c r="K71" s="15" t="str"/>
      <x:c r="L71" s="15" t="str"/>
      <x:c r="M71" s="15" t="str"/>
      <x:c r="N71" s="15" t="str"/>
      <x:c r="O71" s="20" t="str"/>
      <x:c r="P71" s="15" t="str"/>
    </x:row>
    <x:row r="72">
      <x:c r="A72" s="15" t="str"/>
      <x:c r="B72" s="20" t="str"/>
      <x:c r="C72" s="15" t="str"/>
      <x:c r="D72" s="15" t="str"/>
      <x:c r="E72" s="15" t="str"/>
      <x:c r="F72" s="15" t="str"/>
      <x:c r="G72" s="15" t="str"/>
      <x:c r="H72" s="15" t="str"/>
      <x:c r="I72" s="15" t="str"/>
      <x:c r="J72" s="20" t="str"/>
      <x:c r="K72" s="15" t="str"/>
      <x:c r="L72" s="15" t="str"/>
      <x:c r="M72" s="15" t="str"/>
      <x:c r="N72" s="15" t="str"/>
      <x:c r="O72" s="20" t="str"/>
      <x:c r="P72" s="15" t="str"/>
    </x:row>
    <x:row r="73">
      <x:c r="A73" s="15" t="str"/>
      <x:c r="B73" s="20" t="str"/>
      <x:c r="C73" s="15" t="str"/>
      <x:c r="D73" s="15" t="str"/>
      <x:c r="E73" s="15" t="str"/>
      <x:c r="F73" s="15" t="str"/>
      <x:c r="G73" s="15" t="str"/>
      <x:c r="H73" s="15" t="str"/>
      <x:c r="I73" s="15" t="str"/>
      <x:c r="J73" s="20" t="str"/>
      <x:c r="K73" s="15" t="str"/>
      <x:c r="L73" s="15" t="str"/>
      <x:c r="M73" s="15" t="str"/>
      <x:c r="N73" s="15" t="str"/>
      <x:c r="O73" s="20" t="str"/>
      <x:c r="P73" s="15" t="str"/>
    </x:row>
    <x:row r="74">
      <x:c r="A74" s="15" t="str"/>
      <x:c r="B74" s="20" t="str"/>
      <x:c r="C74" s="15" t="str"/>
      <x:c r="D74" s="15" t="str"/>
      <x:c r="E74" s="15" t="str"/>
      <x:c r="F74" s="15" t="str"/>
      <x:c r="G74" s="15" t="str"/>
      <x:c r="H74" s="15" t="str"/>
      <x:c r="I74" s="15" t="str"/>
      <x:c r="J74" s="20" t="str"/>
      <x:c r="K74" s="15" t="str"/>
      <x:c r="L74" s="15" t="str"/>
      <x:c r="M74" s="15" t="str"/>
      <x:c r="N74" s="15" t="str"/>
      <x:c r="O74" s="20" t="str"/>
      <x:c r="P74" s="15" t="str"/>
    </x:row>
    <x:row r="75">
      <x:c r="A75" s="15" t="str"/>
      <x:c r="B75" s="20" t="str"/>
      <x:c r="C75" s="15" t="str"/>
      <x:c r="D75" s="15" t="str"/>
      <x:c r="E75" s="15" t="str"/>
      <x:c r="F75" s="15" t="str"/>
      <x:c r="G75" s="15" t="str"/>
      <x:c r="H75" s="15" t="str"/>
      <x:c r="I75" s="15" t="str"/>
      <x:c r="J75" s="20" t="str"/>
      <x:c r="K75" s="15" t="str"/>
      <x:c r="L75" s="15" t="str"/>
      <x:c r="M75" s="15" t="str"/>
      <x:c r="N75" s="15" t="str"/>
      <x:c r="O75" s="20" t="str"/>
      <x:c r="P75" s="15" t="str"/>
    </x:row>
    <x:row r="76">
      <x:c r="A76" s="15" t="str"/>
      <x:c r="B76" s="20" t="str"/>
      <x:c r="C76" s="15" t="str"/>
      <x:c r="D76" s="15" t="str"/>
      <x:c r="E76" s="15" t="str"/>
      <x:c r="F76" s="15" t="str"/>
      <x:c r="G76" s="15" t="str"/>
      <x:c r="H76" s="15" t="str"/>
      <x:c r="I76" s="15" t="str"/>
      <x:c r="J76" s="20" t="str"/>
      <x:c r="K76" s="15" t="str"/>
      <x:c r="L76" s="15" t="str"/>
      <x:c r="M76" s="15" t="str"/>
      <x:c r="N76" s="15" t="str"/>
      <x:c r="O76" s="20" t="str"/>
      <x:c r="P76" s="15" t="str"/>
    </x:row>
    <x:row r="77">
      <x:c r="A77" s="15" t="str"/>
      <x:c r="B77" s="20" t="str"/>
      <x:c r="C77" s="15" t="str"/>
      <x:c r="D77" s="15" t="str"/>
      <x:c r="E77" s="15" t="str"/>
      <x:c r="F77" s="15" t="str"/>
      <x:c r="G77" s="15" t="str"/>
      <x:c r="H77" s="15" t="str"/>
      <x:c r="I77" s="15" t="str"/>
      <x:c r="J77" s="20" t="str"/>
      <x:c r="K77" s="15" t="str"/>
      <x:c r="L77" s="15" t="str"/>
      <x:c r="M77" s="15" t="str"/>
      <x:c r="N77" s="15" t="str"/>
      <x:c r="O77" s="20" t="str"/>
      <x:c r="P77" s="15" t="str"/>
    </x:row>
    <x:row r="78">
      <x:c r="A78" s="15" t="str"/>
      <x:c r="B78" s="20" t="str"/>
      <x:c r="C78" s="15" t="str"/>
      <x:c r="D78" s="15" t="str"/>
      <x:c r="E78" s="15" t="str"/>
      <x:c r="F78" s="15" t="str"/>
      <x:c r="G78" s="15" t="str"/>
      <x:c r="H78" s="15" t="str"/>
      <x:c r="I78" s="15" t="str"/>
      <x:c r="J78" s="20" t="str"/>
      <x:c r="K78" s="15" t="str"/>
      <x:c r="L78" s="15" t="str"/>
      <x:c r="M78" s="15" t="str"/>
      <x:c r="N78" s="15" t="str"/>
      <x:c r="O78" s="20" t="str"/>
      <x:c r="P78" s="15" t="str"/>
    </x:row>
    <x:row r="79">
      <x:c r="A79" s="15" t="str"/>
      <x:c r="B79" s="20" t="str"/>
      <x:c r="C79" s="15" t="str"/>
      <x:c r="D79" s="15" t="str"/>
      <x:c r="E79" s="15" t="str"/>
      <x:c r="F79" s="15" t="str"/>
      <x:c r="G79" s="15" t="str"/>
      <x:c r="H79" s="15" t="str"/>
      <x:c r="I79" s="15" t="str"/>
      <x:c r="J79" s="20" t="str"/>
      <x:c r="K79" s="15" t="str"/>
      <x:c r="L79" s="15" t="str"/>
      <x:c r="M79" s="15" t="str"/>
      <x:c r="N79" s="15" t="str"/>
      <x:c r="O79" s="20" t="str"/>
      <x:c r="P79" s="15" t="str"/>
    </x:row>
    <x:row r="80">
      <x:c r="A80" s="15" t="str"/>
      <x:c r="B80" s="20" t="str"/>
      <x:c r="C80" s="15" t="str"/>
      <x:c r="D80" s="15" t="str"/>
      <x:c r="E80" s="15" t="str"/>
      <x:c r="F80" s="15" t="str"/>
      <x:c r="G80" s="15" t="str"/>
      <x:c r="H80" s="15" t="str"/>
      <x:c r="I80" s="15" t="str"/>
      <x:c r="J80" s="20" t="str"/>
      <x:c r="K80" s="15" t="str"/>
      <x:c r="L80" s="15" t="str"/>
      <x:c r="M80" s="15" t="str"/>
      <x:c r="N80" s="15" t="str"/>
      <x:c r="O80" s="20" t="str"/>
      <x:c r="P80" s="15" t="str"/>
    </x:row>
    <x:row r="81">
      <x:c r="A81" s="15" t="str"/>
      <x:c r="B81" s="20" t="str"/>
      <x:c r="C81" s="15" t="str"/>
      <x:c r="D81" s="15" t="str"/>
      <x:c r="E81" s="15" t="str"/>
      <x:c r="F81" s="15" t="str"/>
      <x:c r="G81" s="15" t="str"/>
      <x:c r="H81" s="15" t="str"/>
      <x:c r="I81" s="15" t="str"/>
      <x:c r="J81" s="20" t="str"/>
      <x:c r="K81" s="15" t="str"/>
      <x:c r="L81" s="15" t="str"/>
      <x:c r="M81" s="15" t="str"/>
      <x:c r="N81" s="15" t="str"/>
      <x:c r="O81" s="20" t="str"/>
      <x:c r="P81" s="15" t="str"/>
    </x:row>
    <x:row r="82">
      <x:c r="A82" s="15" t="str"/>
      <x:c r="B82" s="20" t="str"/>
      <x:c r="C82" s="15" t="str"/>
      <x:c r="D82" s="15" t="str"/>
      <x:c r="E82" s="15" t="str"/>
      <x:c r="F82" s="15" t="str"/>
      <x:c r="G82" s="15" t="str"/>
      <x:c r="H82" s="15" t="str"/>
      <x:c r="I82" s="15" t="str"/>
      <x:c r="J82" s="20" t="str"/>
      <x:c r="K82" s="15" t="str"/>
      <x:c r="L82" s="15" t="str"/>
      <x:c r="M82" s="15" t="str"/>
      <x:c r="N82" s="15" t="str"/>
      <x:c r="O82" s="20" t="str"/>
      <x:c r="P82" s="15" t="str"/>
    </x:row>
    <x:row r="83">
      <x:c r="A83" s="15" t="str"/>
      <x:c r="B83" s="20" t="str"/>
      <x:c r="C83" s="15" t="str"/>
      <x:c r="D83" s="15" t="str"/>
      <x:c r="E83" s="15" t="str"/>
      <x:c r="F83" s="15" t="str"/>
      <x:c r="G83" s="15" t="str"/>
      <x:c r="H83" s="15" t="str"/>
      <x:c r="I83" s="15" t="str"/>
      <x:c r="J83" s="20" t="str"/>
      <x:c r="K83" s="15" t="str"/>
      <x:c r="L83" s="15" t="str"/>
      <x:c r="M83" s="15" t="str"/>
      <x:c r="N83" s="15" t="str"/>
      <x:c r="O83" s="20" t="str"/>
      <x:c r="P83" s="15" t="str"/>
    </x:row>
    <x:row r="84">
      <x:c r="A84" s="15" t="str"/>
      <x:c r="B84" s="20" t="str"/>
      <x:c r="C84" s="15" t="str"/>
      <x:c r="D84" s="15" t="str"/>
      <x:c r="E84" s="15" t="str"/>
      <x:c r="F84" s="15" t="str"/>
      <x:c r="G84" s="15" t="str"/>
      <x:c r="H84" s="15" t="str"/>
      <x:c r="I84" s="15" t="str"/>
      <x:c r="J84" s="20" t="str"/>
      <x:c r="K84" s="15" t="str"/>
      <x:c r="L84" s="15" t="str"/>
      <x:c r="M84" s="15" t="str"/>
      <x:c r="N84" s="15" t="str"/>
      <x:c r="O84" s="20" t="str"/>
      <x:c r="P84" s="15" t="str"/>
    </x:row>
    <x:row r="85">
      <x:c r="A85" s="15" t="str"/>
      <x:c r="B85" s="20" t="str"/>
      <x:c r="C85" s="15" t="str"/>
      <x:c r="D85" s="15" t="str"/>
      <x:c r="E85" s="15" t="str"/>
      <x:c r="F85" s="15" t="str"/>
      <x:c r="G85" s="15" t="str"/>
      <x:c r="H85" s="15" t="str"/>
      <x:c r="I85" s="15" t="str"/>
      <x:c r="J85" s="20" t="str"/>
      <x:c r="K85" s="15" t="str"/>
      <x:c r="L85" s="15" t="str"/>
      <x:c r="M85" s="15" t="str"/>
      <x:c r="N85" s="15" t="str"/>
      <x:c r="O85" s="20" t="str"/>
      <x:c r="P85" s="15" t="str"/>
    </x:row>
    <x:row r="86">
      <x:c r="A86" s="15" t="str"/>
      <x:c r="B86" s="20" t="str"/>
      <x:c r="C86" s="15" t="str"/>
      <x:c r="D86" s="15" t="str"/>
      <x:c r="E86" s="15" t="str"/>
      <x:c r="F86" s="15" t="str"/>
      <x:c r="G86" s="15" t="str"/>
      <x:c r="H86" s="15" t="str"/>
      <x:c r="I86" s="15" t="str"/>
      <x:c r="J86" s="20" t="str"/>
      <x:c r="K86" s="15" t="str"/>
      <x:c r="L86" s="15" t="str"/>
      <x:c r="M86" s="15" t="str"/>
      <x:c r="N86" s="15" t="str"/>
      <x:c r="O86" s="20" t="str"/>
      <x:c r="P86" s="15" t="str"/>
    </x:row>
    <x:row r="87">
      <x:c r="A87" s="15" t="str"/>
      <x:c r="B87" s="20" t="str"/>
      <x:c r="C87" s="15" t="str"/>
      <x:c r="D87" s="15" t="str"/>
      <x:c r="E87" s="15" t="str"/>
      <x:c r="F87" s="15" t="str"/>
      <x:c r="G87" s="15" t="str"/>
      <x:c r="H87" s="15" t="str"/>
      <x:c r="I87" s="15" t="str"/>
      <x:c r="J87" s="20" t="str"/>
      <x:c r="K87" s="15" t="str"/>
      <x:c r="L87" s="15" t="str"/>
      <x:c r="M87" s="15" t="str"/>
      <x:c r="N87" s="15" t="str"/>
      <x:c r="O87" s="20" t="str"/>
      <x:c r="P87" s="15" t="str"/>
    </x:row>
    <x:row r="88">
      <x:c r="A88" s="15" t="str"/>
      <x:c r="B88" s="20" t="str"/>
      <x:c r="C88" s="15" t="str"/>
      <x:c r="D88" s="15" t="str"/>
      <x:c r="E88" s="15" t="str"/>
      <x:c r="F88" s="15" t="str"/>
      <x:c r="G88" s="15" t="str"/>
      <x:c r="H88" s="15" t="str"/>
      <x:c r="I88" s="15" t="str"/>
      <x:c r="J88" s="20" t="str"/>
      <x:c r="K88" s="15" t="str"/>
      <x:c r="L88" s="15" t="str"/>
      <x:c r="M88" s="15" t="str"/>
      <x:c r="N88" s="15" t="str"/>
      <x:c r="O88" s="20" t="str"/>
      <x:c r="P88" s="15" t="str"/>
    </x:row>
    <x:row r="89">
      <x:c r="A89" s="15" t="str"/>
      <x:c r="B89" s="20" t="str"/>
      <x:c r="C89" s="15" t="str"/>
      <x:c r="D89" s="15" t="str"/>
      <x:c r="E89" s="15" t="str"/>
      <x:c r="F89" s="15" t="str"/>
      <x:c r="G89" s="15" t="str"/>
      <x:c r="H89" s="15" t="str"/>
      <x:c r="I89" s="15" t="str"/>
      <x:c r="J89" s="20" t="str"/>
      <x:c r="K89" s="15" t="str"/>
      <x:c r="L89" s="15" t="str"/>
      <x:c r="M89" s="15" t="str"/>
      <x:c r="N89" s="15" t="str"/>
      <x:c r="O89" s="20" t="str"/>
      <x:c r="P89" s="15" t="str"/>
    </x:row>
    <x:row r="90">
      <x:c r="A90" s="15" t="str"/>
      <x:c r="B90" s="20" t="str"/>
      <x:c r="C90" s="15" t="str"/>
      <x:c r="D90" s="15" t="str"/>
      <x:c r="E90" s="15" t="str"/>
      <x:c r="F90" s="15" t="str"/>
      <x:c r="G90" s="15" t="str"/>
      <x:c r="H90" s="15" t="str"/>
      <x:c r="I90" s="15" t="str"/>
      <x:c r="J90" s="20" t="str"/>
      <x:c r="K90" s="15" t="str"/>
      <x:c r="L90" s="15" t="str"/>
      <x:c r="M90" s="15" t="str"/>
      <x:c r="N90" s="15" t="str"/>
      <x:c r="O90" s="20" t="str"/>
      <x:c r="P90" s="15" t="str"/>
    </x:row>
    <x:row r="91">
      <x:c r="A91" s="15" t="str"/>
      <x:c r="B91" s="20" t="str"/>
      <x:c r="C91" s="15" t="str"/>
      <x:c r="D91" s="15" t="str"/>
      <x:c r="E91" s="15" t="str"/>
      <x:c r="F91" s="15" t="str"/>
      <x:c r="G91" s="15" t="str"/>
      <x:c r="H91" s="15" t="str"/>
      <x:c r="I91" s="15" t="str"/>
      <x:c r="J91" s="20" t="str"/>
      <x:c r="K91" s="15" t="str"/>
      <x:c r="L91" s="15" t="str"/>
      <x:c r="M91" s="15" t="str"/>
      <x:c r="N91" s="15" t="str"/>
      <x:c r="O91" s="20" t="str"/>
      <x:c r="P91" s="15" t="str"/>
    </x:row>
    <x:row r="92">
      <x:c r="A92" s="15" t="str"/>
      <x:c r="B92" s="20" t="str"/>
      <x:c r="C92" s="15" t="str"/>
      <x:c r="D92" s="15" t="str"/>
      <x:c r="E92" s="15" t="str"/>
      <x:c r="F92" s="15" t="str"/>
      <x:c r="G92" s="15" t="str"/>
      <x:c r="H92" s="15" t="str"/>
      <x:c r="I92" s="15" t="str"/>
      <x:c r="J92" s="20" t="str"/>
      <x:c r="K92" s="15" t="str"/>
      <x:c r="L92" s="15" t="str"/>
      <x:c r="M92" s="15" t="str"/>
      <x:c r="N92" s="15" t="str"/>
      <x:c r="O92" s="20" t="str"/>
      <x:c r="P92" s="15" t="str"/>
    </x:row>
    <x:row r="93">
      <x:c r="A93" s="15" t="str"/>
      <x:c r="B93" s="20" t="str"/>
      <x:c r="C93" s="15" t="str"/>
      <x:c r="D93" s="15" t="str"/>
      <x:c r="E93" s="15" t="str"/>
      <x:c r="F93" s="15" t="str"/>
      <x:c r="G93" s="15" t="str"/>
      <x:c r="H93" s="15" t="str"/>
      <x:c r="I93" s="15" t="str"/>
      <x:c r="J93" s="20" t="str"/>
      <x:c r="K93" s="15" t="str"/>
      <x:c r="L93" s="15" t="str"/>
      <x:c r="M93" s="15" t="str"/>
      <x:c r="N93" s="15" t="str"/>
      <x:c r="O93" s="20" t="str"/>
      <x:c r="P93" s="15" t="str"/>
    </x:row>
    <x:row r="94">
      <x:c r="A94" s="15" t="str"/>
      <x:c r="B94" s="20" t="str"/>
      <x:c r="C94" s="15" t="str"/>
      <x:c r="D94" s="15" t="str"/>
      <x:c r="E94" s="15" t="str"/>
      <x:c r="F94" s="15" t="str"/>
      <x:c r="G94" s="15" t="str"/>
      <x:c r="H94" s="15" t="str"/>
      <x:c r="I94" s="15" t="str"/>
      <x:c r="J94" s="20" t="str"/>
      <x:c r="K94" s="15" t="str"/>
      <x:c r="L94" s="15" t="str"/>
      <x:c r="M94" s="15" t="str"/>
      <x:c r="N94" s="15" t="str"/>
      <x:c r="O94" s="20" t="str"/>
      <x:c r="P94" s="15" t="str"/>
    </x:row>
    <x:row r="95">
      <x:c r="A95" s="15" t="str"/>
      <x:c r="B95" s="20" t="str"/>
      <x:c r="C95" s="15" t="str"/>
      <x:c r="D95" s="15" t="str"/>
      <x:c r="E95" s="15" t="str"/>
      <x:c r="F95" s="15" t="str"/>
      <x:c r="G95" s="15" t="str"/>
      <x:c r="H95" s="15" t="str"/>
      <x:c r="I95" s="15" t="str"/>
      <x:c r="J95" s="20" t="str"/>
      <x:c r="K95" s="15" t="str"/>
      <x:c r="L95" s="15" t="str"/>
      <x:c r="M95" s="15" t="str"/>
      <x:c r="N95" s="15" t="str"/>
      <x:c r="O95" s="20" t="str"/>
      <x:c r="P95" s="15" t="str"/>
    </x:row>
    <x:row r="96">
      <x:c r="A96" s="15" t="str"/>
      <x:c r="B96" s="20" t="str"/>
      <x:c r="C96" s="15" t="str"/>
      <x:c r="D96" s="15" t="str"/>
      <x:c r="E96" s="15" t="str"/>
      <x:c r="F96" s="15" t="str"/>
      <x:c r="G96" s="15" t="str"/>
      <x:c r="H96" s="15" t="str"/>
      <x:c r="I96" s="15" t="str"/>
      <x:c r="J96" s="20" t="str"/>
      <x:c r="K96" s="15" t="str"/>
      <x:c r="L96" s="15" t="str"/>
      <x:c r="M96" s="15" t="str"/>
      <x:c r="N96" s="15" t="str"/>
      <x:c r="O96" s="20" t="str"/>
      <x:c r="P96" s="15" t="str"/>
    </x:row>
    <x:row r="97">
      <x:c r="A97" s="15" t="str"/>
      <x:c r="B97" s="20" t="str"/>
      <x:c r="C97" s="15" t="str"/>
      <x:c r="D97" s="15" t="str"/>
      <x:c r="E97" s="15" t="str"/>
      <x:c r="F97" s="15" t="str"/>
      <x:c r="G97" s="15" t="str"/>
      <x:c r="H97" s="15" t="str"/>
      <x:c r="I97" s="15" t="str"/>
      <x:c r="J97" s="20" t="str"/>
      <x:c r="K97" s="15" t="str"/>
      <x:c r="L97" s="15" t="str"/>
      <x:c r="M97" s="15" t="str"/>
      <x:c r="N97" s="15" t="str"/>
      <x:c r="O97" s="20" t="str"/>
      <x:c r="P97" s="15" t="str"/>
    </x:row>
    <x:row r="98">
      <x:c r="A98" s="15" t="str"/>
      <x:c r="B98" s="20" t="str"/>
      <x:c r="C98" s="15" t="str"/>
      <x:c r="D98" s="15" t="str"/>
      <x:c r="E98" s="15" t="str"/>
      <x:c r="F98" s="15" t="str"/>
      <x:c r="G98" s="15" t="str"/>
      <x:c r="H98" s="15" t="str"/>
      <x:c r="I98" s="15" t="str"/>
      <x:c r="J98" s="20" t="str"/>
      <x:c r="K98" s="15" t="str"/>
      <x:c r="L98" s="15" t="str"/>
      <x:c r="M98" s="15" t="str"/>
      <x:c r="N98" s="15" t="str"/>
      <x:c r="O98" s="20" t="str"/>
      <x:c r="P98" s="15" t="str"/>
    </x:row>
    <x:row r="99">
      <x:c r="A99" s="15" t="str"/>
      <x:c r="B99" s="20" t="str"/>
      <x:c r="C99" s="15" t="str"/>
      <x:c r="D99" s="15" t="str"/>
      <x:c r="E99" s="15" t="str"/>
      <x:c r="F99" s="15" t="str"/>
      <x:c r="G99" s="15" t="str"/>
      <x:c r="H99" s="15" t="str"/>
      <x:c r="I99" s="15" t="str"/>
      <x:c r="J99" s="20" t="str"/>
      <x:c r="K99" s="15" t="str"/>
      <x:c r="L99" s="15" t="str"/>
      <x:c r="M99" s="15" t="str"/>
      <x:c r="N99" s="15" t="str"/>
      <x:c r="O99" s="20" t="str"/>
      <x:c r="P99" s="15" t="str"/>
    </x:row>
    <x:row r="100">
      <x:c r="A100" s="15" t="str"/>
      <x:c r="B100" s="20" t="str"/>
      <x:c r="C100" s="15" t="str"/>
      <x:c r="D100" s="15" t="str"/>
      <x:c r="E100" s="15" t="str"/>
      <x:c r="F100" s="15" t="str"/>
      <x:c r="G100" s="15" t="str"/>
      <x:c r="H100" s="15" t="str"/>
      <x:c r="I100" s="15" t="str"/>
      <x:c r="J100" s="20" t="str"/>
      <x:c r="K100" s="15" t="str"/>
      <x:c r="L100" s="15" t="str"/>
      <x:c r="M100" s="15" t="str"/>
      <x:c r="N100" s="15" t="str"/>
      <x:c r="O100" s="20" t="str"/>
      <x:c r="P100" s="15" t="str"/>
    </x:row>
    <x:row r="101">
      <x:c r="A101" s="15" t="str"/>
      <x:c r="B101" s="20" t="str"/>
      <x:c r="C101" s="15" t="str"/>
      <x:c r="D101" s="15" t="str"/>
      <x:c r="E101" s="15" t="str"/>
      <x:c r="F101" s="15" t="str"/>
      <x:c r="G101" s="15" t="str"/>
      <x:c r="H101" s="15" t="str"/>
      <x:c r="I101" s="15" t="str"/>
      <x:c r="J101" s="20" t="str"/>
      <x:c r="K101" s="15" t="str"/>
      <x:c r="L101" s="15" t="str"/>
      <x:c r="M101" s="15" t="str"/>
      <x:c r="N101" s="15" t="str"/>
      <x:c r="O101" s="20" t="str"/>
      <x:c r="P101" s="15" t="str"/>
    </x:row>
    <x:row r="102">
      <x:c r="A102" s="15" t="str"/>
      <x:c r="B102" s="20" t="str"/>
      <x:c r="C102" s="15" t="str"/>
      <x:c r="D102" s="15" t="str"/>
      <x:c r="E102" s="15" t="str"/>
      <x:c r="F102" s="15" t="str"/>
      <x:c r="G102" s="15" t="str"/>
      <x:c r="H102" s="15" t="str"/>
      <x:c r="I102" s="15" t="str"/>
      <x:c r="J102" s="20" t="str"/>
      <x:c r="K102" s="15" t="str"/>
      <x:c r="L102" s="15" t="str"/>
      <x:c r="M102" s="15" t="str"/>
      <x:c r="N102" s="15" t="str"/>
      <x:c r="O102" s="20" t="str"/>
      <x:c r="P102" s="15" t="str"/>
    </x:row>
    <x:row r="103">
      <x:c r="A103" s="15" t="str"/>
      <x:c r="B103" s="20" t="str"/>
      <x:c r="C103" s="15" t="str"/>
      <x:c r="D103" s="15" t="str"/>
      <x:c r="E103" s="15" t="str"/>
      <x:c r="F103" s="15" t="str"/>
      <x:c r="G103" s="15" t="str"/>
      <x:c r="H103" s="15" t="str"/>
      <x:c r="I103" s="15" t="str"/>
      <x:c r="J103" s="20" t="str"/>
      <x:c r="K103" s="15" t="str"/>
      <x:c r="L103" s="15" t="str"/>
      <x:c r="M103" s="15" t="str"/>
      <x:c r="N103" s="15" t="str"/>
      <x:c r="O103" s="20" t="str"/>
      <x:c r="P103" s="15" t="str"/>
    </x:row>
    <x:row r="104">
      <x:c r="A104" s="15" t="str"/>
      <x:c r="B104" s="20" t="str"/>
      <x:c r="C104" s="15" t="str"/>
      <x:c r="D104" s="15" t="str"/>
      <x:c r="E104" s="15" t="str"/>
      <x:c r="F104" s="15" t="str"/>
      <x:c r="G104" s="15" t="str"/>
      <x:c r="H104" s="15" t="str"/>
      <x:c r="I104" s="15" t="str"/>
      <x:c r="J104" s="20" t="str"/>
      <x:c r="K104" s="15" t="str"/>
      <x:c r="L104" s="15" t="str"/>
      <x:c r="M104" s="15" t="str"/>
      <x:c r="N104" s="15" t="str"/>
      <x:c r="O104" s="20" t="str"/>
      <x:c r="P104" s="15" t="str"/>
    </x:row>
  </x:sheetData>
  <x:mergeCells>
    <x:mergeCell ref="A1:P1"/>
    <x:mergeCell ref="A2:P2"/>
  </x:mergeCells>
  <x:conditionalFormatting sqref="M5:M104">
    <x:cfRule type="containsText" dxfId="0" priority="1" operator="containsText" text="Applied"/>
    <x:cfRule type="containsText" dxfId="1" priority="2" operator="containsText" text="Pending"/>
  </x:conditionalFormatting>
  <x:dataValidations count="3">
    <x:dataValidation type="list" sqref="D5:D104">
      <x:formula1>"Form Update,Bulk Import,Owner Validation,Status Update,Date Update,Dependency Update,Risk Update"</x:formula1>
    </x:dataValidation>
    <x:dataValidation type="list" sqref="E5:E104">
      <x:formula1>"Application Inventory,At-Risk Register,Dependencies,Milestones,Action Plan,Platform Onboarding,NFRs,Team Members,Executive Dates,Jira Coverage,Ticket Gaps"</x:formula1>
    </x:dataValidation>
    <x:dataValidation type="list" sqref="M5:M104">
      <x:formula1>"Pending Review,Approved,Applied,Rejected,Needs Clarification"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a05da13e6649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12" hidden="0" customWidth="1"/>
    <x:col min="7" max="7" width="12" hidden="0" customWidth="1"/>
    <x:col min="8" max="8" width="18" hidden="0" customWidth="1"/>
    <x:col min="9" max="9" width="18" hidden="0" customWidth="1"/>
    <x:col min="10" max="10" width="44" hidden="0" customWidth="1"/>
  </x:cols>
  <x:sheetData>
    <x:row r="1" ht="30" customHeight="1">
      <x:c r="A1" s="38" t="str">
        <x:v>Import Mapping</x:v>
      </x:c>
      <x:c r="B1" s="38" t="str">
        <x:v>Import Mapping</x:v>
      </x:c>
      <x:c r="C1" s="38" t="str">
        <x:v>Import Mapping</x:v>
      </x:c>
      <x:c r="D1" s="38" t="str">
        <x:v>Import Mapping</x:v>
      </x:c>
      <x:c r="E1" s="38" t="str">
        <x:v>Import Mapping</x:v>
      </x:c>
      <x:c r="F1" s="38" t="str">
        <x:v>Import Mapping</x:v>
      </x:c>
      <x:c r="G1" s="38" t="str">
        <x:v>Import Mapping</x:v>
      </x:c>
      <x:c r="H1" s="38" t="str">
        <x:v>Import Mapping</x:v>
      </x:c>
      <x:c r="I1" s="38" t="str">
        <x:v>Import Mapping</x:v>
      </x:c>
      <x:c r="J1" s="38" t="str">
        <x:v>Import Mapping</x:v>
      </x:c>
    </x:row>
    <x:row r="2" ht="34" customHeight="1">
      <x:c r="A2" s="39" t="str">
        <x:v>Map incoming CSV or YAML fields to workbook fields. A WPF updater should save and reuse mapping profiles from this table.</x:v>
      </x:c>
      <x:c r="B2" s="39" t="str">
        <x:v>Map incoming CSV or YAML fields to workbook fields. A WPF updater should save and reuse mapping profiles from this table.</x:v>
      </x:c>
      <x:c r="C2" s="39" t="str">
        <x:v>Map incoming CSV or YAML fields to workbook fields. A WPF updater should save and reuse mapping profiles from this table.</x:v>
      </x:c>
      <x:c r="D2" s="39" t="str">
        <x:v>Map incoming CSV or YAML fields to workbook fields. A WPF updater should save and reuse mapping profiles from this table.</x:v>
      </x:c>
      <x:c r="E2" s="39" t="str">
        <x:v>Map incoming CSV or YAML fields to workbook fields. A WPF updater should save and reuse mapping profiles from this table.</x:v>
      </x:c>
      <x:c r="F2" s="39" t="str">
        <x:v>Map incoming CSV or YAML fields to workbook fields. A WPF updater should save and reuse mapping profiles from this table.</x:v>
      </x:c>
      <x:c r="G2" s="39" t="str">
        <x:v>Map incoming CSV or YAML fields to workbook fields. A WPF updater should save and reuse mapping profiles from this table.</x:v>
      </x:c>
      <x:c r="H2" s="39" t="str">
        <x:v>Map incoming CSV or YAML fields to workbook fields. A WPF updater should save and reuse mapping profiles from this table.</x:v>
      </x:c>
      <x:c r="I2" s="39" t="str">
        <x:v>Map incoming CSV or YAML fields to workbook fields. A WPF updater should save and reuse mapping profiles from this table.</x:v>
      </x:c>
      <x:c r="J2" s="39" t="str">
        <x:v>Map incoming CSV or YAML fields to workbook fields. A WPF updater should save and reuse mapping profiles from this table.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</x:row>
    <x:row r="4" ht="34" customHeight="1">
      <x:c r="A4" s="44" t="str">
        <x:v>Mapping Profile</x:v>
      </x:c>
      <x:c r="B4" s="44" t="str">
        <x:v>Source Type</x:v>
      </x:c>
      <x:c r="C4" s="44" t="str">
        <x:v>Target Table</x:v>
      </x:c>
      <x:c r="D4" s="44" t="str">
        <x:v>Source Field</x:v>
      </x:c>
      <x:c r="E4" s="44" t="str">
        <x:v>Target Field</x:v>
      </x:c>
      <x:c r="F4" s="44" t="str">
        <x:v>Required?</x:v>
      </x:c>
      <x:c r="G4" s="44" t="str">
        <x:v>Match Key?</x:v>
      </x:c>
      <x:c r="H4" s="44" t="str">
        <x:v>Transform Rule</x:v>
      </x:c>
      <x:c r="I4" s="44" t="str">
        <x:v>Default Value</x:v>
      </x:c>
      <x:c r="J4" s="44" t="str">
        <x:v>Notes</x:v>
      </x:c>
    </x:row>
    <x:row r="5">
      <x:c r="A5" s="15" t="str">
        <x:v>ApplicationOwnerIntake</x:v>
      </x:c>
      <x:c r="B5" s="15" t="str">
        <x:v>CSV/YAML</x:v>
      </x:c>
      <x:c r="C5" s="15" t="str">
        <x:v>Application Inventory</x:v>
      </x:c>
      <x:c r="D5" s="15" t="str">
        <x:v>application_name</x:v>
      </x:c>
      <x:c r="E5" s="15" t="str">
        <x:v>Application / Tool</x:v>
      </x:c>
      <x:c r="F5" s="15" t="str">
        <x:v>Yes</x:v>
      </x:c>
      <x:c r="G5" s="15" t="str">
        <x:v>No</x:v>
      </x:c>
      <x:c r="H5" s="15" t="str">
        <x:v>Trim</x:v>
      </x:c>
      <x:c r="I5" s="15" t="str"/>
      <x:c r="J5" s="15" t="str">
        <x:v>Human-readable app/tool name.</x:v>
      </x:c>
    </x:row>
    <x:row r="6">
      <x:c r="A6" s="15" t="str">
        <x:v>ApplicationOwnerIntake</x:v>
      </x:c>
      <x:c r="B6" s="15" t="str">
        <x:v>CSV/YAML</x:v>
      </x:c>
      <x:c r="C6" s="15" t="str">
        <x:v>Application Inventory</x:v>
      </x:c>
      <x:c r="D6" s="15" t="str">
        <x:v>app_id</x:v>
      </x:c>
      <x:c r="E6" s="15" t="str">
        <x:v>App ID</x:v>
      </x:c>
      <x:c r="F6" s="15" t="str">
        <x:v>No</x:v>
      </x:c>
      <x:c r="G6" s="15" t="str">
        <x:v>Yes</x:v>
      </x:c>
      <x:c r="H6" s="15" t="str">
        <x:v>Uppercase</x:v>
      </x:c>
      <x:c r="I6" s="15" t="str"/>
      <x:c r="J6" s="15" t="str">
        <x:v>Preferred match key when available.</x:v>
      </x:c>
    </x:row>
    <x:row r="7">
      <x:c r="A7" s="15" t="str">
        <x:v>ApplicationOwnerIntake</x:v>
      </x:c>
      <x:c r="B7" s="15" t="str">
        <x:v>CSV/YAML</x:v>
      </x:c>
      <x:c r="C7" s="15" t="str">
        <x:v>Application Inventory</x:v>
      </x:c>
      <x:c r="D7" s="15" t="str">
        <x:v>source_row</x:v>
      </x:c>
      <x:c r="E7" s="15" t="str">
        <x:v>Source Row</x:v>
      </x:c>
      <x:c r="F7" s="15" t="str">
        <x:v>No</x:v>
      </x:c>
      <x:c r="G7" s="15" t="str">
        <x:v>Yes</x:v>
      </x:c>
      <x:c r="H7" s="15" t="str">
        <x:v>Number</x:v>
      </x:c>
      <x:c r="I7" s="15" t="str"/>
      <x:c r="J7" s="15" t="str">
        <x:v>Use when importing from extracted portfolio catalog.</x:v>
      </x:c>
    </x:row>
    <x:row r="8">
      <x:c r="A8" s="15" t="str">
        <x:v>ApplicationOwnerIntake</x:v>
      </x:c>
      <x:c r="B8" s="15" t="str">
        <x:v>CSV/YAML</x:v>
      </x:c>
      <x:c r="C8" s="15" t="str">
        <x:v>Application Inventory</x:v>
      </x:c>
      <x:c r="D8" s="15" t="str">
        <x:v>business_function</x:v>
      </x:c>
      <x:c r="E8" s="15" t="str">
        <x:v>Business Function</x:v>
      </x:c>
      <x:c r="F8" s="15" t="str">
        <x:v>Yes</x:v>
      </x:c>
      <x:c r="G8" s="15" t="str">
        <x:v>No</x:v>
      </x:c>
      <x:c r="H8" s="15" t="str">
        <x:v>Trim</x:v>
      </x:c>
      <x:c r="I8" s="15" t="str"/>
      <x:c r="J8" s="15" t="str">
        <x:v>What the app/tool does.</x:v>
      </x:c>
    </x:row>
    <x:row r="9">
      <x:c r="A9" s="15" t="str">
        <x:v>ApplicationOwnerIntake</x:v>
      </x:c>
      <x:c r="B9" s="15" t="str">
        <x:v>CSV/YAML</x:v>
      </x:c>
      <x:c r="C9" s="15" t="str">
        <x:v>Application Inventory</x:v>
      </x:c>
      <x:c r="D9" s="15" t="str">
        <x:v>primary_users</x:v>
      </x:c>
      <x:c r="E9" s="15" t="str">
        <x:v>Primary Users / Team</x:v>
      </x:c>
      <x:c r="F9" s="15" t="str">
        <x:v>Yes</x:v>
      </x:c>
      <x:c r="G9" s="15" t="str">
        <x:v>No</x:v>
      </x:c>
      <x:c r="H9" s="15" t="str">
        <x:v>Trim</x:v>
      </x:c>
      <x:c r="I9" s="15" t="str"/>
      <x:c r="J9" s="15" t="str">
        <x:v>Who consumes it or depends on it.</x:v>
      </x:c>
    </x:row>
    <x:row r="10">
      <x:c r="A10" s="15" t="str">
        <x:v>ApplicationOwnerIntake</x:v>
      </x:c>
      <x:c r="B10" s="15" t="str">
        <x:v>CSV/YAML</x:v>
      </x:c>
      <x:c r="C10" s="15" t="str">
        <x:v>Application Inventory</x:v>
      </x:c>
      <x:c r="D10" s="15" t="str">
        <x:v>classification</x:v>
      </x:c>
      <x:c r="E10" s="15" t="str">
        <x:v>Customer / Internal</x:v>
      </x:c>
      <x:c r="F10" s="15" t="str">
        <x:v>Yes</x:v>
      </x:c>
      <x:c r="G10" s="15" t="str">
        <x:v>No</x:v>
      </x:c>
      <x:c r="H10" s="15" t="str">
        <x:v>Normalize List</x:v>
      </x:c>
      <x:c r="I10" s="15" t="str">
        <x:v>Needs classification</x:v>
      </x:c>
      <x:c r="J10" s="15" t="str">
        <x:v>Customer-facing, user-facing support, internal support.</x:v>
      </x:c>
    </x:row>
    <x:row r="11">
      <x:c r="A11" s="15" t="str">
        <x:v>ApplicationOwnerIntake</x:v>
      </x:c>
      <x:c r="B11" s="15" t="str">
        <x:v>CSV/YAML</x:v>
      </x:c>
      <x:c r="C11" s="15" t="str">
        <x:v>Application Inventory</x:v>
      </x:c>
      <x:c r="D11" s="15" t="str">
        <x:v>usage_frequency</x:v>
      </x:c>
      <x:c r="E11" s="15" t="str">
        <x:v>Evidence / Notes</x:v>
      </x:c>
      <x:c r="F11" s="15" t="str">
        <x:v>No</x:v>
      </x:c>
      <x:c r="G11" s="15" t="str">
        <x:v>No</x:v>
      </x:c>
      <x:c r="H11" s="15" t="str">
        <x:v>Append Note</x:v>
      </x:c>
      <x:c r="I11" s="15" t="str"/>
      <x:c r="J11" s="15" t="str">
        <x:v>Keep in notes unless a dedicated usage column is added.</x:v>
      </x:c>
    </x:row>
    <x:row r="12">
      <x:c r="A12" s="15" t="str">
        <x:v>ApplicationOwnerIntake</x:v>
      </x:c>
      <x:c r="B12" s="15" t="str">
        <x:v>CSV/YAML</x:v>
      </x:c>
      <x:c r="C12" s="15" t="str">
        <x:v>Application Inventory</x:v>
      </x:c>
      <x:c r="D12" s="15" t="str">
        <x:v>loc</x:v>
      </x:c>
      <x:c r="E12" s="15" t="str">
        <x:v>Evidence / Notes</x:v>
      </x:c>
      <x:c r="F12" s="15" t="str">
        <x:v>No</x:v>
      </x:c>
      <x:c r="G12" s="15" t="str">
        <x:v>No</x:v>
      </x:c>
      <x:c r="H12" s="15" t="str">
        <x:v>Append Note</x:v>
      </x:c>
      <x:c r="I12" s="15" t="str"/>
      <x:c r="J12" s="15" t="str">
        <x:v>Keep in notes unless LOC column is added.</x:v>
      </x:c>
    </x:row>
    <x:row r="13">
      <x:c r="A13" s="15" t="str">
        <x:v>ApplicationOwnerIntake</x:v>
      </x:c>
      <x:c r="B13" s="15" t="str">
        <x:v>CSV/YAML</x:v>
      </x:c>
      <x:c r="C13" s="15" t="str">
        <x:v>Application Inventory</x:v>
      </x:c>
      <x:c r="D13" s="15" t="str">
        <x:v>complexity</x:v>
      </x:c>
      <x:c r="E13" s="15" t="str">
        <x:v>Complexity</x:v>
      </x:c>
      <x:c r="F13" s="15" t="str">
        <x:v>Yes</x:v>
      </x:c>
      <x:c r="G13" s="15" t="str">
        <x:v>No</x:v>
      </x:c>
      <x:c r="H13" s="15" t="str">
        <x:v>Normalize List</x:v>
      </x:c>
      <x:c r="I13" s="15" t="str">
        <x:v>Unknown</x:v>
      </x:c>
      <x:c r="J13" s="15" t="str">
        <x:v>Low, Medium, High, Unknown.</x:v>
      </x:c>
    </x:row>
    <x:row r="14">
      <x:c r="A14" s="15" t="str">
        <x:v>ApplicationOwnerIntake</x:v>
      </x:c>
      <x:c r="B14" s="15" t="str">
        <x:v>CSV/YAML</x:v>
      </x:c>
      <x:c r="C14" s="15" t="str">
        <x:v>Application Inventory</x:v>
      </x:c>
      <x:c r="D14" s="15" t="str">
        <x:v>disposition</x:v>
      </x:c>
      <x:c r="E14" s="15" t="str">
        <x:v>Target Disposition</x:v>
      </x:c>
      <x:c r="F14" s="15" t="str">
        <x:v>Yes</x:v>
      </x:c>
      <x:c r="G14" s="15" t="str">
        <x:v>No</x:v>
      </x:c>
      <x:c r="H14" s="15" t="str">
        <x:v>Normalize List</x:v>
      </x:c>
      <x:c r="I14" s="15" t="str">
        <x:v>Assess First</x:v>
      </x:c>
      <x:c r="J14" s="15" t="str">
        <x:v>Keep/refactor/fold/deprecate/defer/BAU support.</x:v>
      </x:c>
    </x:row>
    <x:row r="15">
      <x:c r="A15" s="15" t="str">
        <x:v>ApplicationOwnerIntake</x:v>
      </x:c>
      <x:c r="B15" s="15" t="str">
        <x:v>CSV/YAML</x:v>
      </x:c>
      <x:c r="C15" s="15" t="str">
        <x:v>Application Inventory</x:v>
      </x:c>
      <x:c r="D15" s="15" t="str">
        <x:v>phase</x:v>
      </x:c>
      <x:c r="E15" s="15" t="str">
        <x:v>Phase</x:v>
      </x:c>
      <x:c r="F15" s="15" t="str">
        <x:v>Yes</x:v>
      </x:c>
      <x:c r="G15" s="15" t="str">
        <x:v>No</x:v>
      </x:c>
      <x:c r="H15" s="15" t="str">
        <x:v>Normalize List</x:v>
      </x:c>
      <x:c r="I15" s="15" t="str">
        <x:v>Needs classification</x:v>
      </x:c>
      <x:c r="J15" s="15" t="str">
        <x:v>Phase 1, Phase 2, BAU, deprecate.</x:v>
      </x:c>
    </x:row>
    <x:row r="16">
      <x:c r="A16" s="15" t="str">
        <x:v>ApplicationOwnerIntake</x:v>
      </x:c>
      <x:c r="B16" s="15" t="str">
        <x:v>CSV/YAML</x:v>
      </x:c>
      <x:c r="C16" s="15" t="str">
        <x:v>Application Inventory</x:v>
      </x:c>
      <x:c r="D16" s="15" t="str">
        <x:v>owner</x:v>
      </x:c>
      <x:c r="E16" s="15" t="str">
        <x:v>Owner</x:v>
      </x:c>
      <x:c r="F16" s="15" t="str">
        <x:v>Yes</x:v>
      </x:c>
      <x:c r="G16" s="15" t="str">
        <x:v>No</x:v>
      </x:c>
      <x:c r="H16" s="15" t="str">
        <x:v>Trim</x:v>
      </x:c>
      <x:c r="I16" s="15" t="str">
        <x:v>TBD</x:v>
      </x:c>
      <x:c r="J16" s="15" t="str">
        <x:v>Single accountable person or team.</x:v>
      </x:c>
    </x:row>
    <x:row r="17">
      <x:c r="A17" s="15" t="str">
        <x:v>ApplicationOwnerIntake</x:v>
      </x:c>
      <x:c r="B17" s="15" t="str">
        <x:v>CSV/YAML</x:v>
      </x:c>
      <x:c r="C17" s="15" t="str">
        <x:v>Application Inventory</x:v>
      </x:c>
      <x:c r="D17" s="15" t="str">
        <x:v>blockers</x:v>
      </x:c>
      <x:c r="E17" s="15" t="str">
        <x:v>Evidence / Notes</x:v>
      </x:c>
      <x:c r="F17" s="15" t="str">
        <x:v>No</x:v>
      </x:c>
      <x:c r="G17" s="15" t="str">
        <x:v>No</x:v>
      </x:c>
      <x:c r="H17" s="15" t="str">
        <x:v>Append Note</x:v>
      </x:c>
      <x:c r="I17" s="15" t="str"/>
      <x:c r="J17" s="15" t="str">
        <x:v>Known blockers/dependencies/testing concerns.</x:v>
      </x:c>
    </x:row>
    <x:row r="18">
      <x:c r="A18" s="15" t="str">
        <x:v>AtRiskUpdate</x:v>
      </x:c>
      <x:c r="B18" s="15" t="str">
        <x:v>CSV/YAML</x:v>
      </x:c>
      <x:c r="C18" s="15" t="str">
        <x:v>At-Risk Register</x:v>
      </x:c>
      <x:c r="D18" s="15" t="str">
        <x:v>item</x:v>
      </x:c>
      <x:c r="E18" s="15" t="str">
        <x:v>Item</x:v>
      </x:c>
      <x:c r="F18" s="15" t="str">
        <x:v>Yes</x:v>
      </x:c>
      <x:c r="G18" s="15" t="str">
        <x:v>Yes</x:v>
      </x:c>
      <x:c r="H18" s="15" t="str">
        <x:v>Trim</x:v>
      </x:c>
      <x:c r="I18" s="15" t="str"/>
      <x:c r="J18" s="15" t="str">
        <x:v>Unique risk/milestone name.</x:v>
      </x:c>
    </x:row>
    <x:row r="19">
      <x:c r="A19" s="15" t="str">
        <x:v>AtRiskUpdate</x:v>
      </x:c>
      <x:c r="B19" s="15" t="str">
        <x:v>CSV/YAML</x:v>
      </x:c>
      <x:c r="C19" s="15" t="str">
        <x:v>At-Risk Register</x:v>
      </x:c>
      <x:c r="D19" s="15" t="str">
        <x:v>status</x:v>
      </x:c>
      <x:c r="E19" s="15" t="str">
        <x:v>Current RYG</x:v>
      </x:c>
      <x:c r="F19" s="15" t="str">
        <x:v>Yes</x:v>
      </x:c>
      <x:c r="G19" s="15" t="str">
        <x:v>No</x:v>
      </x:c>
      <x:c r="H19" s="15" t="str">
        <x:v>Normalize RYG</x:v>
      </x:c>
      <x:c r="I19" s="15" t="str">
        <x:v>Yellow</x:v>
      </x:c>
      <x:c r="J19" s="15" t="str">
        <x:v>Red, Yellow, Green.</x:v>
      </x:c>
    </x:row>
    <x:row r="20">
      <x:c r="A20" s="15" t="str">
        <x:v>AtRiskUpdate</x:v>
      </x:c>
      <x:c r="B20" s="15" t="str">
        <x:v>CSV/YAML</x:v>
      </x:c>
      <x:c r="C20" s="15" t="str">
        <x:v>At-Risk Register</x:v>
      </x:c>
      <x:c r="D20" s="15" t="str">
        <x:v>reason</x:v>
      </x:c>
      <x:c r="E20" s="15" t="str">
        <x:v>Reason</x:v>
      </x:c>
      <x:c r="F20" s="15" t="str">
        <x:v>Yes</x:v>
      </x:c>
      <x:c r="G20" s="15" t="str">
        <x:v>No</x:v>
      </x:c>
      <x:c r="H20" s="15" t="str">
        <x:v>Trim</x:v>
      </x:c>
      <x:c r="I20" s="15" t="str"/>
      <x:c r="J20" s="15" t="str">
        <x:v>Why it is yellow/red.</x:v>
      </x:c>
    </x:row>
    <x:row r="21">
      <x:c r="A21" s="15" t="str">
        <x:v>AtRiskUpdate</x:v>
      </x:c>
      <x:c r="B21" s="15" t="str">
        <x:v>CSV/YAML</x:v>
      </x:c>
      <x:c r="C21" s="15" t="str">
        <x:v>At-Risk Register</x:v>
      </x:c>
      <x:c r="D21" s="15" t="str">
        <x:v>action_plan</x:v>
      </x:c>
      <x:c r="E21" s="15" t="str">
        <x:v>Action Plan</x:v>
      </x:c>
      <x:c r="F21" s="15" t="str">
        <x:v>Yes</x:v>
      </x:c>
      <x:c r="G21" s="15" t="str">
        <x:v>No</x:v>
      </x:c>
      <x:c r="H21" s="15" t="str">
        <x:v>Trim</x:v>
      </x:c>
      <x:c r="I21" s="15" t="str"/>
      <x:c r="J21" s="15" t="str">
        <x:v>Recovery action.</x:v>
      </x:c>
    </x:row>
    <x:row r="22">
      <x:c r="A22" s="15" t="str">
        <x:v>AtRiskUpdate</x:v>
      </x:c>
      <x:c r="B22" s="15" t="str">
        <x:v>CSV/YAML</x:v>
      </x:c>
      <x:c r="C22" s="15" t="str">
        <x:v>At-Risk Register</x:v>
      </x:c>
      <x:c r="D22" s="15" t="str">
        <x:v>next_action_date</x:v>
      </x:c>
      <x:c r="E22" s="15" t="str">
        <x:v>Next Action Date</x:v>
      </x:c>
      <x:c r="F22" s="15" t="str">
        <x:v>Yes</x:v>
      </x:c>
      <x:c r="G22" s="15" t="str">
        <x:v>No</x:v>
      </x:c>
      <x:c r="H22" s="15" t="str">
        <x:v>Date</x:v>
      </x:c>
      <x:c r="I22" s="15" t="str"/>
      <x:c r="J22" s="15" t="str">
        <x:v>Next date management can inspect.</x:v>
      </x:c>
    </x:row>
    <x:row r="23">
      <x:c r="A23" s="15" t="str">
        <x:v>AtRiskUpdate</x:v>
      </x:c>
      <x:c r="B23" s="15" t="str">
        <x:v>CSV/YAML</x:v>
      </x:c>
      <x:c r="C23" s="15" t="str">
        <x:v>At-Risk Register</x:v>
      </x:c>
      <x:c r="D23" s="15" t="str">
        <x:v>leadership_ask</x:v>
      </x:c>
      <x:c r="E23" s="15" t="str">
        <x:v>Leadership Ask</x:v>
      </x:c>
      <x:c r="F23" s="15" t="str">
        <x:v>No</x:v>
      </x:c>
      <x:c r="G23" s="15" t="str">
        <x:v>No</x:v>
      </x:c>
      <x:c r="H23" s="15" t="str">
        <x:v>Trim</x:v>
      </x:c>
      <x:c r="I23" s="15" t="str"/>
      <x:c r="J23" s="15" t="str">
        <x:v>Decision/support needed.</x:v>
      </x:c>
    </x:row>
    <x:row r="24">
      <x:c r="A24" s="15" t="str">
        <x:v>JiraTicketImport</x:v>
      </x:c>
      <x:c r="B24" s="15" t="str">
        <x:v>CSV/YAML/Screenshot</x:v>
      </x:c>
      <x:c r="C24" s="15" t="str">
        <x:v>Jira Coverage</x:v>
      </x:c>
      <x:c r="D24" s="15" t="str">
        <x:v>jira_key</x:v>
      </x:c>
      <x:c r="E24" s="15" t="str">
        <x:v>Jira Key</x:v>
      </x:c>
      <x:c r="F24" s="15" t="str">
        <x:v>No</x:v>
      </x:c>
      <x:c r="G24" s="15" t="str">
        <x:v>Yes</x:v>
      </x:c>
      <x:c r="H24" s="15" t="str">
        <x:v>Uppercase</x:v>
      </x:c>
      <x:c r="I24" s="15" t="str">
        <x:v>Missing Jira Key</x:v>
      </x:c>
      <x:c r="J24" s="15" t="str">
        <x:v>Real Jira issue key only; do not substitute feature links or source row IDs.</x:v>
      </x:c>
    </x:row>
    <x:row r="25">
      <x:c r="A25" s="15" t="str">
        <x:v>JiraTicketImport</x:v>
      </x:c>
      <x:c r="B25" s="15" t="str">
        <x:v>CSV/YAML/Screenshot</x:v>
      </x:c>
      <x:c r="C25" s="15" t="str">
        <x:v>Jira Coverage</x:v>
      </x:c>
      <x:c r="D25" s="15" t="str">
        <x:v>feature_link</x:v>
      </x:c>
      <x:c r="E25" s="15" t="str">
        <x:v>Feature Link</x:v>
      </x:c>
      <x:c r="F25" s="15" t="str">
        <x:v>No</x:v>
      </x:c>
      <x:c r="G25" s="15" t="str">
        <x:v>Yes</x:v>
      </x:c>
      <x:c r="H25" s="15" t="str">
        <x:v>Uppercase</x:v>
      </x:c>
      <x:c r="I25" s="15" t="str"/>
      <x:c r="J25" s="15" t="str">
        <x:v>Feature Link such as PBFNC-#### when present.</x:v>
      </x:c>
    </x:row>
    <x:row r="26">
      <x:c r="A26" s="15" t="str">
        <x:v>JiraTicketImport</x:v>
      </x:c>
      <x:c r="B26" s="15" t="str">
        <x:v>CSV/YAML/Screenshot</x:v>
      </x:c>
      <x:c r="C26" s="15" t="str">
        <x:v>Jira Coverage</x:v>
      </x:c>
      <x:c r="D26" s="15" t="str">
        <x:v>summary</x:v>
      </x:c>
      <x:c r="E26" s="15" t="str">
        <x:v>Summary / Work Item</x:v>
      </x:c>
      <x:c r="F26" s="15" t="str">
        <x:v>Yes</x:v>
      </x:c>
      <x:c r="G26" s="15" t="str">
        <x:v>No</x:v>
      </x:c>
      <x:c r="H26" s="15" t="str">
        <x:v>Trim</x:v>
      </x:c>
      <x:c r="I26" s="15" t="str"/>
      <x:c r="J26" s="15" t="str">
        <x:v>Readable ticket summary or inferred work item.</x:v>
      </x:c>
    </x:row>
    <x:row r="27">
      <x:c r="A27" s="15" t="str">
        <x:v>JiraTicketImport</x:v>
      </x:c>
      <x:c r="B27" s="15" t="str">
        <x:v>CSV/YAML/Screenshot</x:v>
      </x:c>
      <x:c r="C27" s="15" t="str">
        <x:v>Jira Coverage</x:v>
      </x:c>
      <x:c r="D27" s="15" t="str">
        <x:v>workstream</x:v>
      </x:c>
      <x:c r="E27" s="15" t="str">
        <x:v>Workstream</x:v>
      </x:c>
      <x:c r="F27" s="15" t="str">
        <x:v>Yes</x:v>
      </x:c>
      <x:c r="G27" s="15" t="str">
        <x:v>No</x:v>
      </x:c>
      <x:c r="H27" s="15" t="str">
        <x:v>Normalize List</x:v>
      </x:c>
      <x:c r="I27" s="15" t="str">
        <x:v>Application Inventory</x:v>
      </x:c>
      <x:c r="J27" s="15" t="str">
        <x:v>Map to executive workstream.</x:v>
      </x:c>
    </x:row>
    <x:row r="28">
      <x:c r="A28" s="15" t="str">
        <x:v>JiraTicketImport</x:v>
      </x:c>
      <x:c r="B28" s="15" t="str">
        <x:v>CSV/YAML/Screenshot</x:v>
      </x:c>
      <x:c r="C28" s="15" t="str">
        <x:v>Jira Coverage</x:v>
      </x:c>
      <x:c r="D28" s="15" t="str">
        <x:v>status</x:v>
      </x:c>
      <x:c r="E28" s="15" t="str">
        <x:v>Jira Status</x:v>
      </x:c>
      <x:c r="F28" s="15" t="str">
        <x:v>No</x:v>
      </x:c>
      <x:c r="G28" s="15" t="str">
        <x:v>No</x:v>
      </x:c>
      <x:c r="H28" s="15" t="str">
        <x:v>Normalize Status</x:v>
      </x:c>
      <x:c r="I28" s="15" t="str">
        <x:v>Unknown</x:v>
      </x:c>
      <x:c r="J28" s="15" t="str">
        <x:v>Jira workflow status.</x:v>
      </x:c>
    </x:row>
    <x:row r="29">
      <x:c r="A29" s="15" t="str">
        <x:v>JiraTicketImport</x:v>
      </x:c>
      <x:c r="B29" s="15" t="str">
        <x:v>CSV/YAML/Screenshot</x:v>
      </x:c>
      <x:c r="C29" s="15" t="str">
        <x:v>Jira Coverage</x:v>
      </x:c>
      <x:c r="D29" s="15" t="str">
        <x:v>assignee</x:v>
      </x:c>
      <x:c r="E29" s="15" t="str">
        <x:v>Owner / Assignee</x:v>
      </x:c>
      <x:c r="F29" s="15" t="str">
        <x:v>No</x:v>
      </x:c>
      <x:c r="G29" s="15" t="str">
        <x:v>No</x:v>
      </x:c>
      <x:c r="H29" s="15" t="str">
        <x:v>Trim</x:v>
      </x:c>
      <x:c r="I29" s="15" t="str">
        <x:v>TBD</x:v>
      </x:c>
      <x:c r="J29" s="15" t="str">
        <x:v>Single accountable owner when known.</x:v>
      </x:c>
    </x:row>
    <x:row r="30">
      <x:c r="A30" s="15" t="str">
        <x:v>JiraTicketImport</x:v>
      </x:c>
      <x:c r="B30" s="15" t="str">
        <x:v>CSV/YAML/Screenshot</x:v>
      </x:c>
      <x:c r="C30" s="15" t="str">
        <x:v>Jira Coverage</x:v>
      </x:c>
      <x:c r="D30" s="15" t="str">
        <x:v>sprint</x:v>
      </x:c>
      <x:c r="E30" s="15" t="str">
        <x:v>Sprint / Target</x:v>
      </x:c>
      <x:c r="F30" s="15" t="str">
        <x:v>No</x:v>
      </x:c>
      <x:c r="G30" s="15" t="str">
        <x:v>No</x:v>
      </x:c>
      <x:c r="H30" s="15" t="str">
        <x:v>Trim</x:v>
      </x:c>
      <x:c r="I30" s="15" t="str"/>
      <x:c r="J30" s="15" t="str">
        <x:v>Sprint, target date, or release window.</x:v>
      </x:c>
    </x:row>
    <x:row r="31">
      <x:c r="A31" s="15" t="str">
        <x:v>JiraTicketImport</x:v>
      </x:c>
      <x:c r="B31" s="15" t="str">
        <x:v>CSV/YAML/Screenshot</x:v>
      </x:c>
      <x:c r="C31" s="15" t="str">
        <x:v>Jira Coverage</x:v>
      </x:c>
      <x:c r="D31" s="15" t="str">
        <x:v>estimate</x:v>
      </x:c>
      <x:c r="E31" s="15" t="str">
        <x:v>Estimate / Points</x:v>
      </x:c>
      <x:c r="F31" s="15" t="str">
        <x:v>No</x:v>
      </x:c>
      <x:c r="G31" s="15" t="str">
        <x:v>No</x:v>
      </x:c>
      <x:c r="H31" s="15" t="str">
        <x:v>Number/Text</x:v>
      </x:c>
      <x:c r="I31" s="15" t="str"/>
      <x:c r="J31" s="15" t="str">
        <x:v>Points or duration if available.</x:v>
      </x:c>
    </x:row>
    <x:row r="32">
      <x:c r="A32" s="15" t="str">
        <x:v>JiraTicketImport</x:v>
      </x:c>
      <x:c r="B32" s="15" t="str">
        <x:v>CSV/YAML/Screenshot</x:v>
      </x:c>
      <x:c r="C32" s="15" t="str">
        <x:v>Jira Coverage</x:v>
      </x:c>
      <x:c r="D32" s="15" t="str">
        <x:v>dependency</x:v>
      </x:c>
      <x:c r="E32" s="15" t="str">
        <x:v>Dependency</x:v>
      </x:c>
      <x:c r="F32" s="15" t="str">
        <x:v>No</x:v>
      </x:c>
      <x:c r="G32" s="15" t="str">
        <x:v>No</x:v>
      </x:c>
      <x:c r="H32" s="15" t="str">
        <x:v>Trim</x:v>
      </x:c>
      <x:c r="I32" s="15" t="str"/>
      <x:c r="J32" s="15" t="str">
        <x:v>External team or gate that affects the ticket.</x:v>
      </x:c>
    </x:row>
    <x:row r="33">
      <x:c r="A33" s="15" t="str">
        <x:v>JiraGapImport</x:v>
      </x:c>
      <x:c r="B33" s="15" t="str">
        <x:v>CSV/YAML/Screenshot</x:v>
      </x:c>
      <x:c r="C33" s="15" t="str">
        <x:v>Ticket Gaps</x:v>
      </x:c>
      <x:c r="D33" s="15" t="str">
        <x:v>gap</x:v>
      </x:c>
      <x:c r="E33" s="15" t="str">
        <x:v>Gap / Missing Info</x:v>
      </x:c>
      <x:c r="F33" s="15" t="str">
        <x:v>Yes</x:v>
      </x:c>
      <x:c r="G33" s="15" t="str">
        <x:v>No</x:v>
      </x:c>
      <x:c r="H33" s="15" t="str">
        <x:v>Trim</x:v>
      </x:c>
      <x:c r="I33" s="15" t="str"/>
      <x:c r="J33" s="15" t="str">
        <x:v>What is missing from Jira coverage.</x:v>
      </x:c>
    </x:row>
    <x:row r="34">
      <x:c r="A34" s="15" t="str">
        <x:v>DependencyUpdate</x:v>
      </x:c>
      <x:c r="B34" s="15" t="str">
        <x:v>CSV/YAML</x:v>
      </x:c>
      <x:c r="C34" s="15" t="str">
        <x:v>Dependencies</x:v>
      </x:c>
      <x:c r="D34" s="15" t="str">
        <x:v>dependency_id</x:v>
      </x:c>
      <x:c r="E34" s="15" t="str">
        <x:v>Dependency ID</x:v>
      </x:c>
      <x:c r="F34" s="15" t="str">
        <x:v>Yes</x:v>
      </x:c>
      <x:c r="G34" s="15" t="str">
        <x:v>Yes</x:v>
      </x:c>
      <x:c r="H34" s="15" t="str">
        <x:v>Uppercase</x:v>
      </x:c>
      <x:c r="I34" s="15" t="str"/>
      <x:c r="J34" s="15" t="str">
        <x:v>Preferred dependency key.</x:v>
      </x:c>
    </x:row>
    <x:row r="35">
      <x:c r="A35" s="15" t="str">
        <x:v>DependencyUpdate</x:v>
      </x:c>
      <x:c r="B35" s="15" t="str">
        <x:v>CSV/YAML</x:v>
      </x:c>
      <x:c r="C35" s="15" t="str">
        <x:v>Dependencies</x:v>
      </x:c>
      <x:c r="D35" s="15" t="str">
        <x:v>status</x:v>
      </x:c>
      <x:c r="E35" s="15" t="str">
        <x:v>Current Status</x:v>
      </x:c>
      <x:c r="F35" s="15" t="str">
        <x:v>Yes</x:v>
      </x:c>
      <x:c r="G35" s="15" t="str">
        <x:v>No</x:v>
      </x:c>
      <x:c r="H35" s="15" t="str">
        <x:v>Normalize Status</x:v>
      </x:c>
      <x:c r="I35" s="15" t="str">
        <x:v>To do</x:v>
      </x:c>
      <x:c r="J35" s="15" t="str">
        <x:v>Dependency status.</x:v>
      </x:c>
    </x:row>
    <x:row r="36">
      <x:c r="A36" s="15" t="str">
        <x:v>DependencyUpdate</x:v>
      </x:c>
      <x:c r="B36" s="15" t="str">
        <x:v>CSV/YAML</x:v>
      </x:c>
      <x:c r="C36" s="15" t="str">
        <x:v>Dependencies</x:v>
      </x:c>
      <x:c r="D36" s="15" t="str">
        <x:v>forecast_date</x:v>
      </x:c>
      <x:c r="E36" s="15" t="str">
        <x:v>Forecast Completion</x:v>
      </x:c>
      <x:c r="F36" s="15" t="str">
        <x:v>No</x:v>
      </x:c>
      <x:c r="G36" s="15" t="str">
        <x:v>No</x:v>
      </x:c>
      <x:c r="H36" s="15" t="str">
        <x:v>Date</x:v>
      </x:c>
      <x:c r="I36" s="15" t="str"/>
      <x:c r="J36" s="15" t="str">
        <x:v>Expected completion date.</x:v>
      </x:c>
    </x:row>
  </x:sheetData>
  <x:mergeCells>
    <x:mergeCell ref="A1:J1"/>
    <x:mergeCell ref="A2:J2"/>
  </x:mergeCells>
  <x:dataValidations count="3">
    <x:dataValidation type="list" sqref="B5:B36">
      <x:formula1>"CSV,YAML,CSV/YAML,CSV/YAML/Screenshot"</x:formula1>
    </x:dataValidation>
    <x:dataValidation type="list" sqref="C5:C36">
      <x:formula1>"Application Inventory,At-Risk Register,Dependencies,Milestones,Action Plan,Platform Onboarding,NFRs,Team Members,Executive Dates,Jira Coverage,Ticket Gaps"</x:formula1>
    </x:dataValidation>
    <x:dataValidation type="list" sqref="F5:G3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49cf357f7749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58" hidden="0" customWidth="1"/>
    <x:col min="5" max="5" width="44" hidden="0" customWidth="1"/>
    <x:col min="6" max="6" width="20" hidden="0" customWidth="1"/>
    <x:col min="7" max="7" width="44" hidden="0" customWidth="1"/>
    <x:col min="8" max="8" width="36" hidden="0" customWidth="1"/>
    <x:col min="9" max="9" width="44" hidden="0" customWidth="1"/>
  </x:cols>
  <x:sheetData>
    <x:row r="1" ht="30" customHeight="1">
      <x:c r="A1" s="38" t="str">
        <x:v>Update Rules</x:v>
      </x:c>
      <x:c r="B1" s="38" t="str">
        <x:v>Update Rules</x:v>
      </x:c>
      <x:c r="C1" s="38" t="str">
        <x:v>Update Rules</x:v>
      </x:c>
      <x:c r="D1" s="38" t="str">
        <x:v>Update Rules</x:v>
      </x:c>
      <x:c r="E1" s="38" t="str">
        <x:v>Update Rules</x:v>
      </x:c>
      <x:c r="F1" s="38" t="str">
        <x:v>Update Rules</x:v>
      </x:c>
      <x:c r="G1" s="38" t="str">
        <x:v>Update Rules</x:v>
      </x:c>
      <x:c r="H1" s="38" t="str">
        <x:v>Update Rules</x:v>
      </x:c>
      <x:c r="I1" s="38" t="str">
        <x:v>Update Rules</x:v>
      </x:c>
    </x:row>
    <x:row r="2" ht="34" customHeight="1">
      <x:c r="A2" s="39" t="str">
        <x:v>Rules for keeping one source of truth: forms/imports should update source tables, not dashboard cells.</x:v>
      </x:c>
      <x:c r="B2" s="39" t="str">
        <x:v>Rules for keeping one source of truth: forms/imports should update source tables, not dashboard cells.</x:v>
      </x:c>
      <x:c r="C2" s="39" t="str">
        <x:v>Rules for keeping one source of truth: forms/imports should update source tables, not dashboard cells.</x:v>
      </x:c>
      <x:c r="D2" s="39" t="str">
        <x:v>Rules for keeping one source of truth: forms/imports should update source tables, not dashboard cells.</x:v>
      </x:c>
      <x:c r="E2" s="39" t="str">
        <x:v>Rules for keeping one source of truth: forms/imports should update source tables, not dashboard cells.</x:v>
      </x:c>
      <x:c r="F2" s="39" t="str">
        <x:v>Rules for keeping one source of truth: forms/imports should update source tables, not dashboard cells.</x:v>
      </x:c>
      <x:c r="G2" s="39" t="str">
        <x:v>Rules for keeping one source of truth: forms/imports should update source tables, not dashboard cells.</x:v>
      </x:c>
      <x:c r="H2" s="39" t="str">
        <x:v>Rules for keeping one source of truth: forms/imports should update source tables, not dashboard cells.</x:v>
      </x:c>
      <x:c r="I2" s="39" t="str">
        <x:v>Rules for keeping one source of truth: forms/imports should update source tables, not dashboard cells.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</x:row>
    <x:row r="4" ht="34" customHeight="1">
      <x:c r="A4" s="44" t="str">
        <x:v>Target Table</x:v>
      </x:c>
      <x:c r="B4" s="44" t="str">
        <x:v>Primary Match Key</x:v>
      </x:c>
      <x:c r="C4" s="44" t="str">
        <x:v>Alternate Match Key</x:v>
      </x:c>
      <x:c r="D4" s="44" t="str">
        <x:v>Required Fields</x:v>
      </x:c>
      <x:c r="E4" s="44" t="str">
        <x:v>Feeds These Views</x:v>
      </x:c>
      <x:c r="F4" s="44" t="str">
        <x:v>Do Not Edit Directly</x:v>
      </x:c>
      <x:c r="G4" s="44" t="str">
        <x:v>Conflict Rule</x:v>
      </x:c>
      <x:c r="H4" s="44" t="str">
        <x:v>WPF Behavior</x:v>
      </x:c>
      <x:c r="I4" s="44" t="str">
        <x:v>Notes</x:v>
      </x:c>
    </x:row>
    <x:row r="5">
      <x:c r="A5" s="15" t="str">
        <x:v>Application Inventory</x:v>
      </x:c>
      <x:c r="B5" s="15" t="str">
        <x:v>App ID</x:v>
      </x:c>
      <x:c r="C5" s="15" t="str">
        <x:v>Application / Tool or Source Row</x:v>
      </x:c>
      <x:c r="D5" s="15" t="str">
        <x:v>Application / Tool, Business Function, Customer / Internal, Target Disposition, Phase, Owner, Complexity</x:v>
      </x:c>
      <x:c r="E5" s="15" t="str">
        <x:v>Executive Frame, Brad Readiness, At-Risk Register context, Milestones</x:v>
      </x:c>
      <x:c r="F5" s="15" t="str">
        <x:v>Executive Frame</x:v>
      </x:c>
      <x:c r="G5" s="15" t="str">
        <x:v>Do not overwrite nonblank owner/status with blank import value.</x:v>
      </x:c>
      <x:c r="H5" s="15" t="str">
        <x:v>Preview changes, then update matching row.</x:v>
      </x:c>
      <x:c r="I5" s="15" t="str">
        <x:v>This is the main source for app scope and phase.</x:v>
      </x:c>
    </x:row>
    <x:row r="6">
      <x:c r="A6" s="15" t="str">
        <x:v>At-Risk Register</x:v>
      </x:c>
      <x:c r="B6" s="15" t="str">
        <x:v>Item</x:v>
      </x:c>
      <x:c r="C6" s="15" t="str"/>
      <x:c r="D6" s="15" t="str">
        <x:v>Current RYG, Reason, Owner, Action Plan, Next Action Date, Leadership Ask</x:v>
      </x:c>
      <x:c r="E6" s="15" t="str">
        <x:v>Executive Frame, Brad Readiness</x:v>
      </x:c>
      <x:c r="F6" s="15" t="str">
        <x:v>Executive Frame</x:v>
      </x:c>
      <x:c r="G6" s="15" t="str">
        <x:v>Never clear Reason or Action Plan without reviewer approval.</x:v>
      </x:c>
      <x:c r="H6" s="15" t="str">
        <x:v>Require approval before Applied status.</x:v>
      </x:c>
      <x:c r="I6" s="15" t="str">
        <x:v>This is the answer sheet for yellow/red callouts.</x:v>
      </x:c>
    </x:row>
    <x:row r="7">
      <x:c r="A7" s="15" t="str">
        <x:v>Dependencies</x:v>
      </x:c>
      <x:c r="B7" s="15" t="str">
        <x:v>Dependency ID</x:v>
      </x:c>
      <x:c r="C7" s="15" t="str">
        <x:v>Dependency</x:v>
      </x:c>
      <x:c r="D7" s="15" t="str">
        <x:v>Dependency, Owning Team, Needed For, Request Status, Needed By, Current Status</x:v>
      </x:c>
      <x:c r="E7" s="15" t="str">
        <x:v>Executive Frame, At-Risk Register, Action Plan</x:v>
      </x:c>
      <x:c r="F7" s="15" t="str">
        <x:v>Executive Frame</x:v>
      </x:c>
      <x:c r="G7" s="15" t="str">
        <x:v>Latest dated status wins; keep previous value in Change Log.</x:v>
      </x:c>
      <x:c r="H7" s="15" t="str">
        <x:v>Update row and write Change Log.</x:v>
      </x:c>
      <x:c r="I7" s="15" t="str">
        <x:v>This keeps external blockers visible.</x:v>
      </x:c>
    </x:row>
    <x:row r="8">
      <x:c r="A8" s="15" t="str">
        <x:v>Milestones</x:v>
      </x:c>
      <x:c r="B8" s="15" t="str">
        <x:v>Milestone</x:v>
      </x:c>
      <x:c r="C8" s="15" t="str"/>
      <x:c r="D8" s="15" t="str">
        <x:v>Milestone, Workstream, Target Date, Status, Owner, R/Y/G, Evidence</x:v>
      </x:c>
      <x:c r="E8" s="15" t="str">
        <x:v>Executive Frame, Brad Readiness</x:v>
      </x:c>
      <x:c r="F8" s="15" t="str">
        <x:v>Executive Frame</x:v>
      </x:c>
      <x:c r="G8" s="15" t="str">
        <x:v>If target date changes, require reason in Notes.</x:v>
      </x:c>
      <x:c r="H8" s="15" t="str">
        <x:v>Prompt for date-change reason.</x:v>
      </x:c>
      <x:c r="I8" s="15" t="str">
        <x:v>Use for leadership-visible progress, not detailed Jira tasks.</x:v>
      </x:c>
    </x:row>
    <x:row r="9">
      <x:c r="A9" s="15" t="str">
        <x:v>Action Plan</x:v>
      </x:c>
      <x:c r="B9" s="15" t="str">
        <x:v>ID</x:v>
      </x:c>
      <x:c r="C9" s="15" t="str">
        <x:v>Task Name</x:v>
      </x:c>
      <x:c r="D9" s="15" t="str">
        <x:v>Task Name, Owner, Start Date, Need-By Date, Status, Next Action</x:v>
      </x:c>
      <x:c r="E9" s="15" t="str">
        <x:v>Executive Frame</x:v>
      </x:c>
      <x:c r="F9" s="15" t="str">
        <x:v>Executive Frame</x:v>
      </x:c>
      <x:c r="G9" s="15" t="str">
        <x:v>Status changes require next action when not Complete.</x:v>
      </x:c>
      <x:c r="H9" s="15" t="str">
        <x:v>Validate required fields before applying.</x:v>
      </x:c>
      <x:c r="I9" s="15" t="str">
        <x:v>Detailed execution can remain in Jira.</x:v>
      </x:c>
    </x:row>
    <x:row r="10">
      <x:c r="A10" s="15" t="str">
        <x:v>Platform Onboarding</x:v>
      </x:c>
      <x:c r="B10" s="15" t="str">
        <x:v>Platform + Task</x:v>
      </x:c>
      <x:c r="C10" s="15" t="str">
        <x:v>Dependency ID</x:v>
      </x:c>
      <x:c r="D10" s="15" t="str">
        <x:v>Platform, Phase, Task, Environment, Who, Status</x:v>
      </x:c>
      <x:c r="E10" s="15" t="str">
        <x:v>Dependencies, At-Risk Register</x:v>
      </x:c>
      <x:c r="F10" s="15" t="str">
        <x:v>Executive Frame</x:v>
      </x:c>
      <x:c r="G10" s="15" t="str">
        <x:v>External-team updates require source note or ticket.</x:v>
      </x:c>
      <x:c r="H10" s="15" t="str">
        <x:v>Append source note.</x:v>
      </x:c>
      <x:c r="I10" s="15" t="str">
        <x:v>Used for OCP, Kafka, Splunk, Harness, Apigee, HyperExecute.</x:v>
      </x:c>
    </x:row>
    <x:row r="11">
      <x:c r="A11" s="15" t="str">
        <x:v>Jira Coverage</x:v>
      </x:c>
      <x:c r="B11" s="15" t="str">
        <x:v>Jira Key</x:v>
      </x:c>
      <x:c r="C11" s="15" t="str">
        <x:v>Summary / Work Item</x:v>
      </x:c>
      <x:c r="D11" s="15" t="str">
        <x:v>Jira Key, Feature Link, Summary, Workstream, Coverage Status, Owner, Sprint, Estimate Confidence, Source Evidence</x:v>
      </x:c>
      <x:c r="E11" s="15" t="str">
        <x:v>Executive Frame, Ticket Gaps, Brad Readiness</x:v>
      </x:c>
      <x:c r="F11" s="15" t="str">
        <x:v>Executive Frame</x:v>
      </x:c>
      <x:c r="G11" s="15" t="str">
        <x:v>Do not mark estimate confidence High unless ticket has owner, sprint/date, and estimate or dependency lead time.</x:v>
      </x:c>
      <x:c r="H11" s="15" t="str">
        <x:v>Import tickets, preview gaps, and create/update matching Ticket Gaps rows.</x:v>
      </x:c>
      <x:c r="I11" s="15" t="str">
        <x:v>This proves whether the plan is actually represented in Jira without corrupting IDs.</x:v>
      </x:c>
    </x:row>
    <x:row r="12">
      <x:c r="A12" s="15" t="str">
        <x:v>Ticket Gaps</x:v>
      </x:c>
      <x:c r="B12" s="15" t="str">
        <x:v>Gap ID</x:v>
      </x:c>
      <x:c r="C12" s="15" t="str">
        <x:v>Related Work Item</x:v>
      </x:c>
      <x:c r="D12" s="15" t="str">
        <x:v>Gap Type, Gap / Missing Info, Owner, Due Date, Action Needed, Status</x:v>
      </x:c>
      <x:c r="E12" s="15" t="str">
        <x:v>Executive Frame, Brad Readiness</x:v>
      </x:c>
      <x:c r="F12" s="15" t="str">
        <x:v>Executive Frame</x:v>
      </x:c>
      <x:c r="G12" s="15" t="str">
        <x:v>Every missing/weak ticket must have a next action and owner.</x:v>
      </x:c>
      <x:c r="H12" s="15" t="str">
        <x:v>Require due date and owner before Applied status.</x:v>
      </x:c>
      <x:c r="I12" s="15" t="str">
        <x:v>This is the executive answer for what Jira does not yet prove.</x:v>
      </x:c>
    </x:row>
  </x:sheetData>
  <x:mergeCells>
    <x:mergeCell ref="A1:I1"/>
    <x:mergeCell ref="A2:I2"/>
  </x:mergeCells>
  <x:dataValidations count="1">
    <x:dataValidation type="list" sqref="F5:F12">
      <x:formula1>"Executive Frame,Dashboard cells,Formula cells,No"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ba81870f5b44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4" hidden="0" customWidth="1"/>
    <x:col min="5" max="5" width="24" hidden="0" customWidth="1"/>
    <x:col min="6" max="6" width="24" hidden="0" customWidth="1"/>
    <x:col min="7" max="7" width="34" hidden="0" customWidth="1"/>
    <x:col min="8" max="8" width="34" hidden="0" customWidth="1"/>
    <x:col min="9" max="9" width="24" hidden="0" customWidth="1"/>
    <x:col min="10" max="10" width="18" hidden="0" customWidth="1"/>
    <x:col min="11" max="11" width="52" hidden="0" customWidth="1"/>
  </x:cols>
  <x:sheetData>
    <x:row r="1" ht="30" customHeight="1">
      <x:c r="A1" s="38" t="str">
        <x:v>Change Log</x:v>
      </x:c>
      <x:c r="B1" s="38" t="str">
        <x:v>Change Log</x:v>
      </x:c>
      <x:c r="C1" s="38" t="str">
        <x:v>Change Log</x:v>
      </x:c>
      <x:c r="D1" s="38" t="str">
        <x:v>Change Log</x:v>
      </x:c>
      <x:c r="E1" s="38" t="str">
        <x:v>Change Log</x:v>
      </x:c>
      <x:c r="F1" s="38" t="str">
        <x:v>Change Log</x:v>
      </x:c>
      <x:c r="G1" s="38" t="str">
        <x:v>Change Log</x:v>
      </x:c>
      <x:c r="H1" s="38" t="str">
        <x:v>Change Log</x:v>
      </x:c>
      <x:c r="I1" s="38" t="str">
        <x:v>Change Log</x:v>
      </x:c>
      <x:c r="J1" s="38" t="str">
        <x:v>Change Log</x:v>
      </x:c>
      <x:c r="K1" s="38" t="str">
        <x:v>Change Log</x:v>
      </x:c>
    </x:row>
    <x:row r="2" ht="34" customHeight="1">
      <x:c r="A2" s="39" t="str">
        <x:v>Audit trail for WPF/app updates and bulk imports. This is what protects the plan when dates or statuses change.</x:v>
      </x:c>
      <x:c r="B2" s="39" t="str">
        <x:v>Audit trail for WPF/app updates and bulk imports. This is what protects the plan when dates or statuses change.</x:v>
      </x:c>
      <x:c r="C2" s="39" t="str">
        <x:v>Audit trail for WPF/app updates and bulk imports. This is what protects the plan when dates or statuses change.</x:v>
      </x:c>
      <x:c r="D2" s="39" t="str">
        <x:v>Audit trail for WPF/app updates and bulk imports. This is what protects the plan when dates or statuses change.</x:v>
      </x:c>
      <x:c r="E2" s="39" t="str">
        <x:v>Audit trail for WPF/app updates and bulk imports. This is what protects the plan when dates or statuses change.</x:v>
      </x:c>
      <x:c r="F2" s="39" t="str">
        <x:v>Audit trail for WPF/app updates and bulk imports. This is what protects the plan when dates or statuses change.</x:v>
      </x:c>
      <x:c r="G2" s="39" t="str">
        <x:v>Audit trail for WPF/app updates and bulk imports. This is what protects the plan when dates or statuses change.</x:v>
      </x:c>
      <x:c r="H2" s="39" t="str">
        <x:v>Audit trail for WPF/app updates and bulk imports. This is what protects the plan when dates or statuses change.</x:v>
      </x:c>
      <x:c r="I2" s="39" t="str">
        <x:v>Audit trail for WPF/app updates and bulk imports. This is what protects the plan when dates or statuses change.</x:v>
      </x:c>
      <x:c r="J2" s="39" t="str">
        <x:v>Audit trail for WPF/app updates and bulk imports. This is what protects the plan when dates or statuses change.</x:v>
      </x:c>
      <x:c r="K2" s="39" t="str">
        <x:v>Audit trail for WPF/app updates and bulk imports. This is what protects the plan when dates or statuses change.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</x:row>
    <x:row r="4" ht="34" customHeight="1">
      <x:c r="A4" s="44" t="str">
        <x:v>Change ID</x:v>
      </x:c>
      <x:c r="B4" s="44" t="str">
        <x:v>Timestamp</x:v>
      </x:c>
      <x:c r="C4" s="44" t="str">
        <x:v>Changed By</x:v>
      </x:c>
      <x:c r="D4" s="44" t="str">
        <x:v>Target Table</x:v>
      </x:c>
      <x:c r="E4" s="44" t="str">
        <x:v>Record Key</x:v>
      </x:c>
      <x:c r="F4" s="44" t="str">
        <x:v>Field</x:v>
      </x:c>
      <x:c r="G4" s="44" t="str">
        <x:v>Old Value</x:v>
      </x:c>
      <x:c r="H4" s="44" t="str">
        <x:v>New Value</x:v>
      </x:c>
      <x:c r="I4" s="44" t="str">
        <x:v>Source</x:v>
      </x:c>
      <x:c r="J4" s="44" t="str">
        <x:v>Review Status</x:v>
      </x:c>
      <x:c r="K4" s="44" t="str">
        <x:v>Notes</x:v>
      </x:c>
    </x:row>
    <x:row r="5">
      <x:c r="A5" s="15" t="str">
        <x:v>CHG-001</x:v>
      </x:c>
      <x:c r="B5" s="21" t="n">
        <x:v>46249</x:v>
      </x:c>
      <x:c r="C5" s="15" t="str">
        <x:v>Larry / CVIS</x:v>
      </x:c>
      <x:c r="D5" s="15" t="str">
        <x:v>Application Inventory</x:v>
      </x:c>
      <x:c r="E5" s="15" t="str">
        <x:v>Source Row 3-44</x:v>
      </x:c>
      <x:c r="F5" s="15" t="str">
        <x:v>Initial Load</x:v>
      </x:c>
      <x:c r="G5" s="15" t="str"/>
      <x:c r="H5" s="15" t="str">
        <x:v>42 screenshot-derived records</x:v>
      </x:c>
      <x:c r="I5" s="15" t="str">
        <x:v>Screenshot OCR</x:v>
      </x:c>
      <x:c r="J5" s="15" t="str">
        <x:v>Applied</x:v>
      </x:c>
      <x:c r="K5" s="15" t="str">
        <x:v>Fields marked Needs Validation where screenshot/OCR confidence is limited.</x:v>
      </x:c>
    </x:row>
    <x:row r="6">
      <x:c r="A6" s="15" t="str"/>
      <x:c r="B6" s="21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</x:row>
    <x:row r="7">
      <x:c r="A7" s="15" t="str"/>
      <x:c r="B7" s="21" t="str"/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  <x:c r="K7" s="15" t="str"/>
    </x:row>
    <x:row r="8">
      <x:c r="A8" s="15" t="str"/>
      <x:c r="B8" s="21" t="str"/>
      <x:c r="C8" s="15" t="str"/>
      <x:c r="D8" s="15" t="str"/>
      <x:c r="E8" s="15" t="str"/>
      <x:c r="F8" s="15" t="str"/>
      <x:c r="G8" s="15" t="str"/>
      <x:c r="H8" s="15" t="str"/>
      <x:c r="I8" s="15" t="str"/>
      <x:c r="J8" s="15" t="str"/>
      <x:c r="K8" s="15" t="str"/>
    </x:row>
    <x:row r="9">
      <x:c r="A9" s="15" t="str"/>
      <x:c r="B9" s="21" t="str"/>
      <x:c r="C9" s="15" t="str"/>
      <x:c r="D9" s="15" t="str"/>
      <x:c r="E9" s="15" t="str"/>
      <x:c r="F9" s="15" t="str"/>
      <x:c r="G9" s="15" t="str"/>
      <x:c r="H9" s="15" t="str"/>
      <x:c r="I9" s="15" t="str"/>
      <x:c r="J9" s="15" t="str"/>
      <x:c r="K9" s="15" t="str"/>
    </x:row>
    <x:row r="10">
      <x:c r="A10" s="15" t="str"/>
      <x:c r="B10" s="21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</x:row>
    <x:row r="11">
      <x:c r="A11" s="15" t="str"/>
      <x:c r="B11" s="21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</x:row>
    <x:row r="12">
      <x:c r="A12" s="15" t="str"/>
      <x:c r="B12" s="21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</x:row>
    <x:row r="13">
      <x:c r="A13" s="15" t="str"/>
      <x:c r="B13" s="21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</x:row>
    <x:row r="14">
      <x:c r="A14" s="15" t="str"/>
      <x:c r="B14" s="21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</x:row>
    <x:row r="15">
      <x:c r="A15" s="15" t="str"/>
      <x:c r="B15" s="21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</x:row>
    <x:row r="16">
      <x:c r="A16" s="15" t="str"/>
      <x:c r="B16" s="21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</x:row>
    <x:row r="17">
      <x:c r="A17" s="15" t="str"/>
      <x:c r="B17" s="21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</x:row>
    <x:row r="18">
      <x:c r="A18" s="15" t="str"/>
      <x:c r="B18" s="21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</x:row>
    <x:row r="19">
      <x:c r="A19" s="15" t="str"/>
      <x:c r="B19" s="21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</x:row>
    <x:row r="20">
      <x:c r="A20" s="15" t="str"/>
      <x:c r="B20" s="21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</x:row>
    <x:row r="21">
      <x:c r="A21" s="15" t="str"/>
      <x:c r="B21" s="21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</x:row>
    <x:row r="22">
      <x:c r="A22" s="15" t="str"/>
      <x:c r="B22" s="21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</x:row>
    <x:row r="23">
      <x:c r="A23" s="15" t="str"/>
      <x:c r="B23" s="21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</x:row>
    <x:row r="24">
      <x:c r="A24" s="15" t="str"/>
      <x:c r="B24" s="21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</x:row>
    <x:row r="25">
      <x:c r="A25" s="15" t="str"/>
      <x:c r="B25" s="21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5" t="str"/>
    </x:row>
    <x:row r="26">
      <x:c r="A26" s="15" t="str"/>
      <x:c r="B26" s="21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  <x:c r="K26" s="15" t="str"/>
    </x:row>
    <x:row r="27">
      <x:c r="A27" s="15" t="str"/>
      <x:c r="B27" s="21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15" t="str"/>
      <x:c r="K27" s="15" t="str"/>
    </x:row>
    <x:row r="28">
      <x:c r="A28" s="15" t="str"/>
      <x:c r="B28" s="21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15" t="str"/>
      <x:c r="K28" s="15" t="str"/>
    </x:row>
    <x:row r="29">
      <x:c r="A29" s="15" t="str"/>
      <x:c r="B29" s="21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15" t="str"/>
      <x:c r="K29" s="15" t="str"/>
    </x:row>
    <x:row r="30">
      <x:c r="A30" s="15" t="str"/>
      <x:c r="B30" s="21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15" t="str"/>
      <x:c r="K30" s="15" t="str"/>
    </x:row>
    <x:row r="31">
      <x:c r="A31" s="15" t="str"/>
      <x:c r="B31" s="21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15" t="str"/>
      <x:c r="K31" s="15" t="str"/>
    </x:row>
    <x:row r="32">
      <x:c r="A32" s="15" t="str"/>
      <x:c r="B32" s="21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15" t="str"/>
      <x:c r="K32" s="15" t="str"/>
    </x:row>
    <x:row r="33">
      <x:c r="A33" s="15" t="str"/>
      <x:c r="B33" s="21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5" t="str"/>
    </x:row>
    <x:row r="34">
      <x:c r="A34" s="15" t="str"/>
      <x:c r="B34" s="21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15" t="str"/>
      <x:c r="K34" s="15" t="str"/>
    </x:row>
    <x:row r="35">
      <x:c r="A35" s="15" t="str"/>
      <x:c r="B35" s="21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15" t="str"/>
      <x:c r="K35" s="15" t="str"/>
    </x:row>
    <x:row r="36">
      <x:c r="A36" s="15" t="str"/>
      <x:c r="B36" s="21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15" t="str"/>
      <x:c r="K36" s="15" t="str"/>
    </x:row>
    <x:row r="37">
      <x:c r="A37" s="15" t="str"/>
      <x:c r="B37" s="21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15" t="str"/>
      <x:c r="K37" s="15" t="str"/>
    </x:row>
    <x:row r="38">
      <x:c r="A38" s="15" t="str"/>
      <x:c r="B38" s="21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15" t="str"/>
      <x:c r="K38" s="15" t="str"/>
    </x:row>
    <x:row r="39">
      <x:c r="A39" s="15" t="str"/>
      <x:c r="B39" s="21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15" t="str"/>
      <x:c r="K39" s="15" t="str"/>
    </x:row>
    <x:row r="40">
      <x:c r="A40" s="15" t="str"/>
      <x:c r="B40" s="21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15" t="str"/>
      <x:c r="K40" s="15" t="str"/>
    </x:row>
    <x:row r="41">
      <x:c r="A41" s="15" t="str"/>
      <x:c r="B41" s="21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15" t="str"/>
      <x:c r="K41" s="15" t="str"/>
    </x:row>
    <x:row r="42">
      <x:c r="A42" s="15" t="str"/>
      <x:c r="B42" s="21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15" t="str"/>
      <x:c r="K42" s="15" t="str"/>
    </x:row>
    <x:row r="43">
      <x:c r="A43" s="15" t="str"/>
      <x:c r="B43" s="21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15" t="str"/>
      <x:c r="K43" s="15" t="str"/>
    </x:row>
    <x:row r="44">
      <x:c r="A44" s="15" t="str"/>
      <x:c r="B44" s="21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15" t="str"/>
      <x:c r="K44" s="15" t="str"/>
    </x:row>
    <x:row r="45">
      <x:c r="A45" s="15" t="str"/>
      <x:c r="B45" s="21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15" t="str"/>
      <x:c r="K45" s="15" t="str"/>
    </x:row>
    <x:row r="46">
      <x:c r="A46" s="15" t="str"/>
      <x:c r="B46" s="21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15" t="str"/>
      <x:c r="K46" s="15" t="str"/>
    </x:row>
    <x:row r="47">
      <x:c r="A47" s="15" t="str"/>
      <x:c r="B47" s="21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15" t="str"/>
      <x:c r="K47" s="15" t="str"/>
    </x:row>
    <x:row r="48">
      <x:c r="A48" s="15" t="str"/>
      <x:c r="B48" s="21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15" t="str"/>
      <x:c r="K48" s="15" t="str"/>
    </x:row>
    <x:row r="49">
      <x:c r="A49" s="15" t="str"/>
      <x:c r="B49" s="21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15" t="str"/>
      <x:c r="K49" s="15" t="str"/>
    </x:row>
    <x:row r="50">
      <x:c r="A50" s="15" t="str"/>
      <x:c r="B50" s="21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15" t="str"/>
      <x:c r="K50" s="15" t="str"/>
    </x:row>
    <x:row r="51">
      <x:c r="A51" s="15" t="str"/>
      <x:c r="B51" s="21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15" t="str"/>
      <x:c r="K51" s="15" t="str"/>
    </x:row>
    <x:row r="52">
      <x:c r="A52" s="15" t="str"/>
      <x:c r="B52" s="21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15" t="str"/>
      <x:c r="K52" s="15" t="str"/>
    </x:row>
    <x:row r="53">
      <x:c r="A53" s="15" t="str"/>
      <x:c r="B53" s="21" t="str"/>
      <x:c r="C53" s="15" t="str"/>
      <x:c r="D53" s="15" t="str"/>
      <x:c r="E53" s="15" t="str"/>
      <x:c r="F53" s="15" t="str"/>
      <x:c r="G53" s="15" t="str"/>
      <x:c r="H53" s="15" t="str"/>
      <x:c r="I53" s="15" t="str"/>
      <x:c r="J53" s="15" t="str"/>
      <x:c r="K53" s="15" t="str"/>
    </x:row>
    <x:row r="54">
      <x:c r="A54" s="15" t="str"/>
      <x:c r="B54" s="21" t="str"/>
      <x:c r="C54" s="15" t="str"/>
      <x:c r="D54" s="15" t="str"/>
      <x:c r="E54" s="15" t="str"/>
      <x:c r="F54" s="15" t="str"/>
      <x:c r="G54" s="15" t="str"/>
      <x:c r="H54" s="15" t="str"/>
      <x:c r="I54" s="15" t="str"/>
      <x:c r="J54" s="15" t="str"/>
      <x:c r="K54" s="15" t="str"/>
    </x:row>
    <x:row r="55">
      <x:c r="A55" s="15" t="str"/>
      <x:c r="B55" s="21" t="str"/>
      <x:c r="C55" s="15" t="str"/>
      <x:c r="D55" s="15" t="str"/>
      <x:c r="E55" s="15" t="str"/>
      <x:c r="F55" s="15" t="str"/>
      <x:c r="G55" s="15" t="str"/>
      <x:c r="H55" s="15" t="str"/>
      <x:c r="I55" s="15" t="str"/>
      <x:c r="J55" s="15" t="str"/>
      <x:c r="K55" s="15" t="str"/>
    </x:row>
    <x:row r="56">
      <x:c r="A56" s="15" t="str"/>
      <x:c r="B56" s="21" t="str"/>
      <x:c r="C56" s="15" t="str"/>
      <x:c r="D56" s="15" t="str"/>
      <x:c r="E56" s="15" t="str"/>
      <x:c r="F56" s="15" t="str"/>
      <x:c r="G56" s="15" t="str"/>
      <x:c r="H56" s="15" t="str"/>
      <x:c r="I56" s="15" t="str"/>
      <x:c r="J56" s="15" t="str"/>
      <x:c r="K56" s="15" t="str"/>
    </x:row>
    <x:row r="57">
      <x:c r="A57" s="15" t="str"/>
      <x:c r="B57" s="21" t="str"/>
      <x:c r="C57" s="15" t="str"/>
      <x:c r="D57" s="15" t="str"/>
      <x:c r="E57" s="15" t="str"/>
      <x:c r="F57" s="15" t="str"/>
      <x:c r="G57" s="15" t="str"/>
      <x:c r="H57" s="15" t="str"/>
      <x:c r="I57" s="15" t="str"/>
      <x:c r="J57" s="15" t="str"/>
      <x:c r="K57" s="15" t="str"/>
    </x:row>
    <x:row r="58">
      <x:c r="A58" s="15" t="str"/>
      <x:c r="B58" s="21" t="str"/>
      <x:c r="C58" s="15" t="str"/>
      <x:c r="D58" s="15" t="str"/>
      <x:c r="E58" s="15" t="str"/>
      <x:c r="F58" s="15" t="str"/>
      <x:c r="G58" s="15" t="str"/>
      <x:c r="H58" s="15" t="str"/>
      <x:c r="I58" s="15" t="str"/>
      <x:c r="J58" s="15" t="str"/>
      <x:c r="K58" s="15" t="str"/>
    </x:row>
    <x:row r="59">
      <x:c r="A59" s="15" t="str"/>
      <x:c r="B59" s="21" t="str"/>
      <x:c r="C59" s="15" t="str"/>
      <x:c r="D59" s="15" t="str"/>
      <x:c r="E59" s="15" t="str"/>
      <x:c r="F59" s="15" t="str"/>
      <x:c r="G59" s="15" t="str"/>
      <x:c r="H59" s="15" t="str"/>
      <x:c r="I59" s="15" t="str"/>
      <x:c r="J59" s="15" t="str"/>
      <x:c r="K59" s="15" t="str"/>
    </x:row>
    <x:row r="60">
      <x:c r="A60" s="15" t="str"/>
      <x:c r="B60" s="21" t="str"/>
      <x:c r="C60" s="15" t="str"/>
      <x:c r="D60" s="15" t="str"/>
      <x:c r="E60" s="15" t="str"/>
      <x:c r="F60" s="15" t="str"/>
      <x:c r="G60" s="15" t="str"/>
      <x:c r="H60" s="15" t="str"/>
      <x:c r="I60" s="15" t="str"/>
      <x:c r="J60" s="15" t="str"/>
      <x:c r="K60" s="15" t="str"/>
    </x:row>
    <x:row r="61">
      <x:c r="A61" s="15" t="str"/>
      <x:c r="B61" s="21" t="str"/>
      <x:c r="C61" s="15" t="str"/>
      <x:c r="D61" s="15" t="str"/>
      <x:c r="E61" s="15" t="str"/>
      <x:c r="F61" s="15" t="str"/>
      <x:c r="G61" s="15" t="str"/>
      <x:c r="H61" s="15" t="str"/>
      <x:c r="I61" s="15" t="str"/>
      <x:c r="J61" s="15" t="str"/>
      <x:c r="K61" s="15" t="str"/>
    </x:row>
    <x:row r="62">
      <x:c r="A62" s="15" t="str"/>
      <x:c r="B62" s="21" t="str"/>
      <x:c r="C62" s="15" t="str"/>
      <x:c r="D62" s="15" t="str"/>
      <x:c r="E62" s="15" t="str"/>
      <x:c r="F62" s="15" t="str"/>
      <x:c r="G62" s="15" t="str"/>
      <x:c r="H62" s="15" t="str"/>
      <x:c r="I62" s="15" t="str"/>
      <x:c r="J62" s="15" t="str"/>
      <x:c r="K62" s="15" t="str"/>
    </x:row>
    <x:row r="63">
      <x:c r="A63" s="15" t="str"/>
      <x:c r="B63" s="21" t="str"/>
      <x:c r="C63" s="15" t="str"/>
      <x:c r="D63" s="15" t="str"/>
      <x:c r="E63" s="15" t="str"/>
      <x:c r="F63" s="15" t="str"/>
      <x:c r="G63" s="15" t="str"/>
      <x:c r="H63" s="15" t="str"/>
      <x:c r="I63" s="15" t="str"/>
      <x:c r="J63" s="15" t="str"/>
      <x:c r="K63" s="15" t="str"/>
    </x:row>
    <x:row r="64">
      <x:c r="A64" s="15" t="str"/>
      <x:c r="B64" s="21" t="str"/>
      <x:c r="C64" s="15" t="str"/>
      <x:c r="D64" s="15" t="str"/>
      <x:c r="E64" s="15" t="str"/>
      <x:c r="F64" s="15" t="str"/>
      <x:c r="G64" s="15" t="str"/>
      <x:c r="H64" s="15" t="str"/>
      <x:c r="I64" s="15" t="str"/>
      <x:c r="J64" s="15" t="str"/>
      <x:c r="K64" s="15" t="str"/>
    </x:row>
    <x:row r="65">
      <x:c r="A65" s="15" t="str"/>
      <x:c r="B65" s="21" t="str"/>
      <x:c r="C65" s="15" t="str"/>
      <x:c r="D65" s="15" t="str"/>
      <x:c r="E65" s="15" t="str"/>
      <x:c r="F65" s="15" t="str"/>
      <x:c r="G65" s="15" t="str"/>
      <x:c r="H65" s="15" t="str"/>
      <x:c r="I65" s="15" t="str"/>
      <x:c r="J65" s="15" t="str"/>
      <x:c r="K65" s="15" t="str"/>
    </x:row>
    <x:row r="66">
      <x:c r="A66" s="15" t="str"/>
      <x:c r="B66" s="21" t="str"/>
      <x:c r="C66" s="15" t="str"/>
      <x:c r="D66" s="15" t="str"/>
      <x:c r="E66" s="15" t="str"/>
      <x:c r="F66" s="15" t="str"/>
      <x:c r="G66" s="15" t="str"/>
      <x:c r="H66" s="15" t="str"/>
      <x:c r="I66" s="15" t="str"/>
      <x:c r="J66" s="15" t="str"/>
      <x:c r="K66" s="15" t="str"/>
    </x:row>
    <x:row r="67">
      <x:c r="A67" s="15" t="str"/>
      <x:c r="B67" s="21" t="str"/>
      <x:c r="C67" s="15" t="str"/>
      <x:c r="D67" s="15" t="str"/>
      <x:c r="E67" s="15" t="str"/>
      <x:c r="F67" s="15" t="str"/>
      <x:c r="G67" s="15" t="str"/>
      <x:c r="H67" s="15" t="str"/>
      <x:c r="I67" s="15" t="str"/>
      <x:c r="J67" s="15" t="str"/>
      <x:c r="K67" s="15" t="str"/>
    </x:row>
    <x:row r="68">
      <x:c r="A68" s="15" t="str"/>
      <x:c r="B68" s="21" t="str"/>
      <x:c r="C68" s="15" t="str"/>
      <x:c r="D68" s="15" t="str"/>
      <x:c r="E68" s="15" t="str"/>
      <x:c r="F68" s="15" t="str"/>
      <x:c r="G68" s="15" t="str"/>
      <x:c r="H68" s="15" t="str"/>
      <x:c r="I68" s="15" t="str"/>
      <x:c r="J68" s="15" t="str"/>
      <x:c r="K68" s="15" t="str"/>
    </x:row>
    <x:row r="69">
      <x:c r="A69" s="15" t="str"/>
      <x:c r="B69" s="21" t="str"/>
      <x:c r="C69" s="15" t="str"/>
      <x:c r="D69" s="15" t="str"/>
      <x:c r="E69" s="15" t="str"/>
      <x:c r="F69" s="15" t="str"/>
      <x:c r="G69" s="15" t="str"/>
      <x:c r="H69" s="15" t="str"/>
      <x:c r="I69" s="15" t="str"/>
      <x:c r="J69" s="15" t="str"/>
      <x:c r="K69" s="15" t="str"/>
    </x:row>
    <x:row r="70">
      <x:c r="A70" s="15" t="str"/>
      <x:c r="B70" s="21" t="str"/>
      <x:c r="C70" s="15" t="str"/>
      <x:c r="D70" s="15" t="str"/>
      <x:c r="E70" s="15" t="str"/>
      <x:c r="F70" s="15" t="str"/>
      <x:c r="G70" s="15" t="str"/>
      <x:c r="H70" s="15" t="str"/>
      <x:c r="I70" s="15" t="str"/>
      <x:c r="J70" s="15" t="str"/>
      <x:c r="K70" s="15" t="str"/>
    </x:row>
    <x:row r="71">
      <x:c r="A71" s="15" t="str"/>
      <x:c r="B71" s="21" t="str"/>
      <x:c r="C71" s="15" t="str"/>
      <x:c r="D71" s="15" t="str"/>
      <x:c r="E71" s="15" t="str"/>
      <x:c r="F71" s="15" t="str"/>
      <x:c r="G71" s="15" t="str"/>
      <x:c r="H71" s="15" t="str"/>
      <x:c r="I71" s="15" t="str"/>
      <x:c r="J71" s="15" t="str"/>
      <x:c r="K71" s="15" t="str"/>
    </x:row>
    <x:row r="72">
      <x:c r="A72" s="15" t="str"/>
      <x:c r="B72" s="21" t="str"/>
      <x:c r="C72" s="15" t="str"/>
      <x:c r="D72" s="15" t="str"/>
      <x:c r="E72" s="15" t="str"/>
      <x:c r="F72" s="15" t="str"/>
      <x:c r="G72" s="15" t="str"/>
      <x:c r="H72" s="15" t="str"/>
      <x:c r="I72" s="15" t="str"/>
      <x:c r="J72" s="15" t="str"/>
      <x:c r="K72" s="15" t="str"/>
    </x:row>
    <x:row r="73">
      <x:c r="A73" s="15" t="str"/>
      <x:c r="B73" s="21" t="str"/>
      <x:c r="C73" s="15" t="str"/>
      <x:c r="D73" s="15" t="str"/>
      <x:c r="E73" s="15" t="str"/>
      <x:c r="F73" s="15" t="str"/>
      <x:c r="G73" s="15" t="str"/>
      <x:c r="H73" s="15" t="str"/>
      <x:c r="I73" s="15" t="str"/>
      <x:c r="J73" s="15" t="str"/>
      <x:c r="K73" s="15" t="str"/>
    </x:row>
    <x:row r="74">
      <x:c r="A74" s="15" t="str"/>
      <x:c r="B74" s="21" t="str"/>
      <x:c r="C74" s="15" t="str"/>
      <x:c r="D74" s="15" t="str"/>
      <x:c r="E74" s="15" t="str"/>
      <x:c r="F74" s="15" t="str"/>
      <x:c r="G74" s="15" t="str"/>
      <x:c r="H74" s="15" t="str"/>
      <x:c r="I74" s="15" t="str"/>
      <x:c r="J74" s="15" t="str"/>
      <x:c r="K74" s="15" t="str"/>
    </x:row>
    <x:row r="75">
      <x:c r="A75" s="15" t="str"/>
      <x:c r="B75" s="21" t="str"/>
      <x:c r="C75" s="15" t="str"/>
      <x:c r="D75" s="15" t="str"/>
      <x:c r="E75" s="15" t="str"/>
      <x:c r="F75" s="15" t="str"/>
      <x:c r="G75" s="15" t="str"/>
      <x:c r="H75" s="15" t="str"/>
      <x:c r="I75" s="15" t="str"/>
      <x:c r="J75" s="15" t="str"/>
      <x:c r="K75" s="15" t="str"/>
    </x:row>
    <x:row r="76">
      <x:c r="A76" s="15" t="str"/>
      <x:c r="B76" s="21" t="str"/>
      <x:c r="C76" s="15" t="str"/>
      <x:c r="D76" s="15" t="str"/>
      <x:c r="E76" s="15" t="str"/>
      <x:c r="F76" s="15" t="str"/>
      <x:c r="G76" s="15" t="str"/>
      <x:c r="H76" s="15" t="str"/>
      <x:c r="I76" s="15" t="str"/>
      <x:c r="J76" s="15" t="str"/>
      <x:c r="K76" s="15" t="str"/>
    </x:row>
    <x:row r="77">
      <x:c r="A77" s="15" t="str"/>
      <x:c r="B77" s="21" t="str"/>
      <x:c r="C77" s="15" t="str"/>
      <x:c r="D77" s="15" t="str"/>
      <x:c r="E77" s="15" t="str"/>
      <x:c r="F77" s="15" t="str"/>
      <x:c r="G77" s="15" t="str"/>
      <x:c r="H77" s="15" t="str"/>
      <x:c r="I77" s="15" t="str"/>
      <x:c r="J77" s="15" t="str"/>
      <x:c r="K77" s="15" t="str"/>
    </x:row>
    <x:row r="78">
      <x:c r="A78" s="15" t="str"/>
      <x:c r="B78" s="21" t="str"/>
      <x:c r="C78" s="15" t="str"/>
      <x:c r="D78" s="15" t="str"/>
      <x:c r="E78" s="15" t="str"/>
      <x:c r="F78" s="15" t="str"/>
      <x:c r="G78" s="15" t="str"/>
      <x:c r="H78" s="15" t="str"/>
      <x:c r="I78" s="15" t="str"/>
      <x:c r="J78" s="15" t="str"/>
      <x:c r="K78" s="15" t="str"/>
    </x:row>
    <x:row r="79">
      <x:c r="A79" s="15" t="str"/>
      <x:c r="B79" s="21" t="str"/>
      <x:c r="C79" s="15" t="str"/>
      <x:c r="D79" s="15" t="str"/>
      <x:c r="E79" s="15" t="str"/>
      <x:c r="F79" s="15" t="str"/>
      <x:c r="G79" s="15" t="str"/>
      <x:c r="H79" s="15" t="str"/>
      <x:c r="I79" s="15" t="str"/>
      <x:c r="J79" s="15" t="str"/>
      <x:c r="K79" s="15" t="str"/>
    </x:row>
    <x:row r="80">
      <x:c r="A80" s="15" t="str"/>
      <x:c r="B80" s="21" t="str"/>
      <x:c r="C80" s="15" t="str"/>
      <x:c r="D80" s="15" t="str"/>
      <x:c r="E80" s="15" t="str"/>
      <x:c r="F80" s="15" t="str"/>
      <x:c r="G80" s="15" t="str"/>
      <x:c r="H80" s="15" t="str"/>
      <x:c r="I80" s="15" t="str"/>
      <x:c r="J80" s="15" t="str"/>
      <x:c r="K80" s="15" t="str"/>
    </x:row>
    <x:row r="81">
      <x:c r="A81" s="15" t="str"/>
      <x:c r="B81" s="21" t="str"/>
      <x:c r="C81" s="15" t="str"/>
      <x:c r="D81" s="15" t="str"/>
      <x:c r="E81" s="15" t="str"/>
      <x:c r="F81" s="15" t="str"/>
      <x:c r="G81" s="15" t="str"/>
      <x:c r="H81" s="15" t="str"/>
      <x:c r="I81" s="15" t="str"/>
      <x:c r="J81" s="15" t="str"/>
      <x:c r="K81" s="15" t="str"/>
    </x:row>
    <x:row r="82">
      <x:c r="A82" s="15" t="str"/>
      <x:c r="B82" s="21" t="str"/>
      <x:c r="C82" s="15" t="str"/>
      <x:c r="D82" s="15" t="str"/>
      <x:c r="E82" s="15" t="str"/>
      <x:c r="F82" s="15" t="str"/>
      <x:c r="G82" s="15" t="str"/>
      <x:c r="H82" s="15" t="str"/>
      <x:c r="I82" s="15" t="str"/>
      <x:c r="J82" s="15" t="str"/>
      <x:c r="K82" s="15" t="str"/>
    </x:row>
    <x:row r="83">
      <x:c r="A83" s="15" t="str"/>
      <x:c r="B83" s="21" t="str"/>
      <x:c r="C83" s="15" t="str"/>
      <x:c r="D83" s="15" t="str"/>
      <x:c r="E83" s="15" t="str"/>
      <x:c r="F83" s="15" t="str"/>
      <x:c r="G83" s="15" t="str"/>
      <x:c r="H83" s="15" t="str"/>
      <x:c r="I83" s="15" t="str"/>
      <x:c r="J83" s="15" t="str"/>
      <x:c r="K83" s="15" t="str"/>
    </x:row>
    <x:row r="84">
      <x:c r="A84" s="15" t="str"/>
      <x:c r="B84" s="21" t="str"/>
      <x:c r="C84" s="15" t="str"/>
      <x:c r="D84" s="15" t="str"/>
      <x:c r="E84" s="15" t="str"/>
      <x:c r="F84" s="15" t="str"/>
      <x:c r="G84" s="15" t="str"/>
      <x:c r="H84" s="15" t="str"/>
      <x:c r="I84" s="15" t="str"/>
      <x:c r="J84" s="15" t="str"/>
      <x:c r="K84" s="15" t="str"/>
    </x:row>
    <x:row r="85">
      <x:c r="A85" s="15" t="str"/>
      <x:c r="B85" s="21" t="str"/>
      <x:c r="C85" s="15" t="str"/>
      <x:c r="D85" s="15" t="str"/>
      <x:c r="E85" s="15" t="str"/>
      <x:c r="F85" s="15" t="str"/>
      <x:c r="G85" s="15" t="str"/>
      <x:c r="H85" s="15" t="str"/>
      <x:c r="I85" s="15" t="str"/>
      <x:c r="J85" s="15" t="str"/>
      <x:c r="K85" s="15" t="str"/>
    </x:row>
    <x:row r="86">
      <x:c r="A86" s="15" t="str"/>
      <x:c r="B86" s="21" t="str"/>
      <x:c r="C86" s="15" t="str"/>
      <x:c r="D86" s="15" t="str"/>
      <x:c r="E86" s="15" t="str"/>
      <x:c r="F86" s="15" t="str"/>
      <x:c r="G86" s="15" t="str"/>
      <x:c r="H86" s="15" t="str"/>
      <x:c r="I86" s="15" t="str"/>
      <x:c r="J86" s="15" t="str"/>
      <x:c r="K86" s="15" t="str"/>
    </x:row>
    <x:row r="87">
      <x:c r="A87" s="15" t="str"/>
      <x:c r="B87" s="21" t="str"/>
      <x:c r="C87" s="15" t="str"/>
      <x:c r="D87" s="15" t="str"/>
      <x:c r="E87" s="15" t="str"/>
      <x:c r="F87" s="15" t="str"/>
      <x:c r="G87" s="15" t="str"/>
      <x:c r="H87" s="15" t="str"/>
      <x:c r="I87" s="15" t="str"/>
      <x:c r="J87" s="15" t="str"/>
      <x:c r="K87" s="15" t="str"/>
    </x:row>
    <x:row r="88">
      <x:c r="A88" s="15" t="str"/>
      <x:c r="B88" s="21" t="str"/>
      <x:c r="C88" s="15" t="str"/>
      <x:c r="D88" s="15" t="str"/>
      <x:c r="E88" s="15" t="str"/>
      <x:c r="F88" s="15" t="str"/>
      <x:c r="G88" s="15" t="str"/>
      <x:c r="H88" s="15" t="str"/>
      <x:c r="I88" s="15" t="str"/>
      <x:c r="J88" s="15" t="str"/>
      <x:c r="K88" s="15" t="str"/>
    </x:row>
    <x:row r="89">
      <x:c r="A89" s="15" t="str"/>
      <x:c r="B89" s="21" t="str"/>
      <x:c r="C89" s="15" t="str"/>
      <x:c r="D89" s="15" t="str"/>
      <x:c r="E89" s="15" t="str"/>
      <x:c r="F89" s="15" t="str"/>
      <x:c r="G89" s="15" t="str"/>
      <x:c r="H89" s="15" t="str"/>
      <x:c r="I89" s="15" t="str"/>
      <x:c r="J89" s="15" t="str"/>
      <x:c r="K89" s="15" t="str"/>
    </x:row>
    <x:row r="90">
      <x:c r="A90" s="15" t="str"/>
      <x:c r="B90" s="21" t="str"/>
      <x:c r="C90" s="15" t="str"/>
      <x:c r="D90" s="15" t="str"/>
      <x:c r="E90" s="15" t="str"/>
      <x:c r="F90" s="15" t="str"/>
      <x:c r="G90" s="15" t="str"/>
      <x:c r="H90" s="15" t="str"/>
      <x:c r="I90" s="15" t="str"/>
      <x:c r="J90" s="15" t="str"/>
      <x:c r="K90" s="15" t="str"/>
    </x:row>
    <x:row r="91">
      <x:c r="A91" s="15" t="str"/>
      <x:c r="B91" s="21" t="str"/>
      <x:c r="C91" s="15" t="str"/>
      <x:c r="D91" s="15" t="str"/>
      <x:c r="E91" s="15" t="str"/>
      <x:c r="F91" s="15" t="str"/>
      <x:c r="G91" s="15" t="str"/>
      <x:c r="H91" s="15" t="str"/>
      <x:c r="I91" s="15" t="str"/>
      <x:c r="J91" s="15" t="str"/>
      <x:c r="K91" s="15" t="str"/>
    </x:row>
    <x:row r="92">
      <x:c r="A92" s="15" t="str"/>
      <x:c r="B92" s="21" t="str"/>
      <x:c r="C92" s="15" t="str"/>
      <x:c r="D92" s="15" t="str"/>
      <x:c r="E92" s="15" t="str"/>
      <x:c r="F92" s="15" t="str"/>
      <x:c r="G92" s="15" t="str"/>
      <x:c r="H92" s="15" t="str"/>
      <x:c r="I92" s="15" t="str"/>
      <x:c r="J92" s="15" t="str"/>
      <x:c r="K92" s="15" t="str"/>
    </x:row>
    <x:row r="93">
      <x:c r="A93" s="15" t="str"/>
      <x:c r="B93" s="21" t="str"/>
      <x:c r="C93" s="15" t="str"/>
      <x:c r="D93" s="15" t="str"/>
      <x:c r="E93" s="15" t="str"/>
      <x:c r="F93" s="15" t="str"/>
      <x:c r="G93" s="15" t="str"/>
      <x:c r="H93" s="15" t="str"/>
      <x:c r="I93" s="15" t="str"/>
      <x:c r="J93" s="15" t="str"/>
      <x:c r="K93" s="15" t="str"/>
    </x:row>
    <x:row r="94">
      <x:c r="A94" s="15" t="str"/>
      <x:c r="B94" s="21" t="str"/>
      <x:c r="C94" s="15" t="str"/>
      <x:c r="D94" s="15" t="str"/>
      <x:c r="E94" s="15" t="str"/>
      <x:c r="F94" s="15" t="str"/>
      <x:c r="G94" s="15" t="str"/>
      <x:c r="H94" s="15" t="str"/>
      <x:c r="I94" s="15" t="str"/>
      <x:c r="J94" s="15" t="str"/>
      <x:c r="K94" s="15" t="str"/>
    </x:row>
    <x:row r="95">
      <x:c r="A95" s="15" t="str"/>
      <x:c r="B95" s="21" t="str"/>
      <x:c r="C95" s="15" t="str"/>
      <x:c r="D95" s="15" t="str"/>
      <x:c r="E95" s="15" t="str"/>
      <x:c r="F95" s="15" t="str"/>
      <x:c r="G95" s="15" t="str"/>
      <x:c r="H95" s="15" t="str"/>
      <x:c r="I95" s="15" t="str"/>
      <x:c r="J95" s="15" t="str"/>
      <x:c r="K95" s="15" t="str"/>
    </x:row>
    <x:row r="96">
      <x:c r="A96" s="15" t="str"/>
      <x:c r="B96" s="21" t="str"/>
      <x:c r="C96" s="15" t="str"/>
      <x:c r="D96" s="15" t="str"/>
      <x:c r="E96" s="15" t="str"/>
      <x:c r="F96" s="15" t="str"/>
      <x:c r="G96" s="15" t="str"/>
      <x:c r="H96" s="15" t="str"/>
      <x:c r="I96" s="15" t="str"/>
      <x:c r="J96" s="15" t="str"/>
      <x:c r="K96" s="15" t="str"/>
    </x:row>
    <x:row r="97">
      <x:c r="A97" s="15" t="str"/>
      <x:c r="B97" s="21" t="str"/>
      <x:c r="C97" s="15" t="str"/>
      <x:c r="D97" s="15" t="str"/>
      <x:c r="E97" s="15" t="str"/>
      <x:c r="F97" s="15" t="str"/>
      <x:c r="G97" s="15" t="str"/>
      <x:c r="H97" s="15" t="str"/>
      <x:c r="I97" s="15" t="str"/>
      <x:c r="J97" s="15" t="str"/>
      <x:c r="K97" s="15" t="str"/>
    </x:row>
    <x:row r="98">
      <x:c r="A98" s="15" t="str"/>
      <x:c r="B98" s="21" t="str"/>
      <x:c r="C98" s="15" t="str"/>
      <x:c r="D98" s="15" t="str"/>
      <x:c r="E98" s="15" t="str"/>
      <x:c r="F98" s="15" t="str"/>
      <x:c r="G98" s="15" t="str"/>
      <x:c r="H98" s="15" t="str"/>
      <x:c r="I98" s="15" t="str"/>
      <x:c r="J98" s="15" t="str"/>
      <x:c r="K98" s="15" t="str"/>
    </x:row>
    <x:row r="99">
      <x:c r="A99" s="15" t="str"/>
      <x:c r="B99" s="21" t="str"/>
      <x:c r="C99" s="15" t="str"/>
      <x:c r="D99" s="15" t="str"/>
      <x:c r="E99" s="15" t="str"/>
      <x:c r="F99" s="15" t="str"/>
      <x:c r="G99" s="15" t="str"/>
      <x:c r="H99" s="15" t="str"/>
      <x:c r="I99" s="15" t="str"/>
      <x:c r="J99" s="15" t="str"/>
      <x:c r="K99" s="15" t="str"/>
    </x:row>
    <x:row r="100">
      <x:c r="A100" s="15" t="str"/>
      <x:c r="B100" s="21" t="str"/>
      <x:c r="C100" s="15" t="str"/>
      <x:c r="D100" s="15" t="str"/>
      <x:c r="E100" s="15" t="str"/>
      <x:c r="F100" s="15" t="str"/>
      <x:c r="G100" s="15" t="str"/>
      <x:c r="H100" s="15" t="str"/>
      <x:c r="I100" s="15" t="str"/>
      <x:c r="J100" s="15" t="str"/>
      <x:c r="K100" s="15" t="str"/>
    </x:row>
    <x:row r="101">
      <x:c r="A101" s="15" t="str"/>
      <x:c r="B101" s="21" t="str"/>
      <x:c r="C101" s="15" t="str"/>
      <x:c r="D101" s="15" t="str"/>
      <x:c r="E101" s="15" t="str"/>
      <x:c r="F101" s="15" t="str"/>
      <x:c r="G101" s="15" t="str"/>
      <x:c r="H101" s="15" t="str"/>
      <x:c r="I101" s="15" t="str"/>
      <x:c r="J101" s="15" t="str"/>
      <x:c r="K101" s="15" t="str"/>
    </x:row>
    <x:row r="102">
      <x:c r="A102" s="15" t="str"/>
      <x:c r="B102" s="21" t="str"/>
      <x:c r="C102" s="15" t="str"/>
      <x:c r="D102" s="15" t="str"/>
      <x:c r="E102" s="15" t="str"/>
      <x:c r="F102" s="15" t="str"/>
      <x:c r="G102" s="15" t="str"/>
      <x:c r="H102" s="15" t="str"/>
      <x:c r="I102" s="15" t="str"/>
      <x:c r="J102" s="15" t="str"/>
      <x:c r="K102" s="15" t="str"/>
    </x:row>
    <x:row r="103">
      <x:c r="A103" s="15" t="str"/>
      <x:c r="B103" s="21" t="str"/>
      <x:c r="C103" s="15" t="str"/>
      <x:c r="D103" s="15" t="str"/>
      <x:c r="E103" s="15" t="str"/>
      <x:c r="F103" s="15" t="str"/>
      <x:c r="G103" s="15" t="str"/>
      <x:c r="H103" s="15" t="str"/>
      <x:c r="I103" s="15" t="str"/>
      <x:c r="J103" s="15" t="str"/>
      <x:c r="K103" s="15" t="str"/>
    </x:row>
    <x:row r="104">
      <x:c r="A104" s="15" t="str"/>
      <x:c r="B104" s="21" t="str"/>
      <x:c r="C104" s="15" t="str"/>
      <x:c r="D104" s="15" t="str"/>
      <x:c r="E104" s="15" t="str"/>
      <x:c r="F104" s="15" t="str"/>
      <x:c r="G104" s="15" t="str"/>
      <x:c r="H104" s="15" t="str"/>
      <x:c r="I104" s="15" t="str"/>
      <x:c r="J104" s="15" t="str"/>
      <x:c r="K104" s="15" t="str"/>
    </x:row>
  </x:sheetData>
  <x:mergeCells>
    <x:mergeCell ref="A1:K1"/>
    <x:mergeCell ref="A2:K2"/>
  </x:mergeCells>
  <x:dataValidations count="2">
    <x:dataValidation type="list" sqref="D5:D104">
      <x:formula1>"Application Inventory,At-Risk Register,Dependencies,Milestones,Action Plan,Platform Onboarding,NFRs,Team Members,Executive Dates"</x:formula1>
    </x:dataValidation>
    <x:dataValidation type="list" sqref="J5:J104">
      <x:formula1>"Pending Review,Approved,Applied,Rejected,Needs Clarification"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17700aa02745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22" hidden="0" customWidth="1"/>
    <x:col min="4" max="4" width="35" hidden="0" customWidth="1"/>
    <x:col min="5" max="5" width="16" hidden="0" customWidth="1"/>
    <x:col min="6" max="6" width="20" hidden="0" customWidth="1"/>
    <x:col min="7" max="7" width="13" hidden="0" customWidth="1"/>
    <x:col min="8" max="8" width="12" hidden="0" customWidth="1"/>
    <x:col min="9" max="9" width="13" hidden="0" customWidth="1"/>
    <x:col min="10" max="10" width="14" hidden="0" customWidth="1"/>
    <x:col min="11" max="11" width="13" hidden="0" customWidth="1"/>
    <x:col min="12" max="12" width="13" hidden="0" customWidth="1"/>
    <x:col min="13" max="13" width="12" hidden="0" customWidth="1"/>
    <x:col min="14" max="14" width="15" hidden="0" customWidth="1"/>
    <x:col min="15" max="15" width="11" hidden="0" customWidth="1"/>
    <x:col min="16" max="16" width="18" hidden="0" customWidth="1"/>
    <x:col min="17" max="17" width="13" hidden="0" customWidth="1"/>
    <x:col min="18" max="18" width="18" hidden="0" customWidth="1"/>
    <x:col min="19" max="19" width="35" hidden="0" customWidth="1"/>
    <x:col min="20" max="20" width="35" hidden="0" customWidth="1"/>
    <x:col min="21" max="21" width="35" hidden="0" customWidth="1"/>
    <x:col min="22" max="22" width="30" hidden="0" customWidth="1"/>
  </x:cols>
  <x:sheetData>
    <x:row r="1" ht="30" customHeight="1">
      <x:c r="A1" s="38" t="str">
        <x:v>CVIS Unity Modernization Action Plan</x:v>
      </x:c>
      <x:c r="B1" s="38" t="str">
        <x:v>CVIS Unity Modernization Action Plan</x:v>
      </x:c>
      <x:c r="C1" s="38" t="str">
        <x:v>CVIS Unity Modernization Action Plan</x:v>
      </x:c>
      <x:c r="D1" s="38" t="str">
        <x:v>CVIS Unity Modernization Action Plan</x:v>
      </x:c>
      <x:c r="E1" s="38" t="str">
        <x:v>CVIS Unity Modernization Action Plan</x:v>
      </x:c>
      <x:c r="F1" s="38" t="str">
        <x:v>CVIS Unity Modernization Action Plan</x:v>
      </x:c>
      <x:c r="G1" s="38" t="str">
        <x:v>CVIS Unity Modernization Action Plan</x:v>
      </x:c>
      <x:c r="H1" s="38" t="str">
        <x:v>CVIS Unity Modernization Action Plan</x:v>
      </x:c>
      <x:c r="I1" s="38" t="str">
        <x:v>CVIS Unity Modernization Action Plan</x:v>
      </x:c>
      <x:c r="J1" s="38" t="str">
        <x:v>CVIS Unity Modernization Action Plan</x:v>
      </x:c>
      <x:c r="K1" s="38" t="str">
        <x:v>CVIS Unity Modernization Action Plan</x:v>
      </x:c>
      <x:c r="L1" s="38" t="str">
        <x:v>CVIS Unity Modernization Action Plan</x:v>
      </x:c>
      <x:c r="M1" s="38" t="str">
        <x:v>CVIS Unity Modernization Action Plan</x:v>
      </x:c>
      <x:c r="N1" s="38" t="str">
        <x:v>CVIS Unity Modernization Action Plan</x:v>
      </x:c>
      <x:c r="O1" s="38" t="str">
        <x:v>CVIS Unity Modernization Action Plan</x:v>
      </x:c>
      <x:c r="P1" s="38" t="str">
        <x:v>CVIS Unity Modernization Action Plan</x:v>
      </x:c>
      <x:c r="Q1" s="38" t="str">
        <x:v>CVIS Unity Modernization Action Plan</x:v>
      </x:c>
      <x:c r="R1" s="38" t="str">
        <x:v>CVIS Unity Modernization Action Plan</x:v>
      </x:c>
      <x:c r="S1" s="38" t="str">
        <x:v>CVIS Unity Modernization Action Plan</x:v>
      </x:c>
      <x:c r="T1" s="38" t="str">
        <x:v>CVIS Unity Modernization Action Plan</x:v>
      </x:c>
      <x:c r="U1" s="38" t="str">
        <x:v>CVIS Unity Modernization Action Plan</x:v>
      </x:c>
      <x:c r="V1" s="38" t="str">
        <x:v>CVIS Unity Modernization Action Plan</x:v>
      </x:c>
    </x:row>
    <x:row r="2" ht="34" customHeight="1">
      <x:c r="A2" s="39" t="str">
        <x:v>Use dropdowns for Workstream, Task Type, Complexity, Status, and Dependency Type. Estimated days and forecast finish are formula-driven.</x:v>
      </x:c>
      <x:c r="B2" s="39" t="str">
        <x:v>Use dropdowns for Workstream, Task Type, Complexity, Status, and Dependency Type. Estimated days and forecast finish are formula-driven.</x:v>
      </x:c>
      <x:c r="C2" s="39" t="str">
        <x:v>Use dropdowns for Workstream, Task Type, Complexity, Status, and Dependency Type. Estimated days and forecast finish are formula-driven.</x:v>
      </x:c>
      <x:c r="D2" s="39" t="str">
        <x:v>Use dropdowns for Workstream, Task Type, Complexity, Status, and Dependency Type. Estimated days and forecast finish are formula-driven.</x:v>
      </x:c>
      <x:c r="E2" s="39" t="str">
        <x:v>Use dropdowns for Workstream, Task Type, Complexity, Status, and Dependency Type. Estimated days and forecast finish are formula-driven.</x:v>
      </x:c>
      <x:c r="F2" s="39" t="str">
        <x:v>Use dropdowns for Workstream, Task Type, Complexity, Status, and Dependency Type. Estimated days and forecast finish are formula-driven.</x:v>
      </x:c>
      <x:c r="G2" s="39" t="str">
        <x:v>Use dropdowns for Workstream, Task Type, Complexity, Status, and Dependency Type. Estimated days and forecast finish are formula-driven.</x:v>
      </x:c>
      <x:c r="H2" s="39" t="str">
        <x:v>Use dropdowns for Workstream, Task Type, Complexity, Status, and Dependency Type. Estimated days and forecast finish are formula-driven.</x:v>
      </x:c>
      <x:c r="I2" s="39" t="str">
        <x:v>Use dropdowns for Workstream, Task Type, Complexity, Status, and Dependency Type. Estimated days and forecast finish are formula-driven.</x:v>
      </x:c>
      <x:c r="J2" s="39" t="str">
        <x:v>Use dropdowns for Workstream, Task Type, Complexity, Status, and Dependency Type. Estimated days and forecast finish are formula-driven.</x:v>
      </x:c>
      <x:c r="K2" s="39" t="str">
        <x:v>Use dropdowns for Workstream, Task Type, Complexity, Status, and Dependency Type. Estimated days and forecast finish are formula-driven.</x:v>
      </x:c>
      <x:c r="L2" s="39" t="str">
        <x:v>Use dropdowns for Workstream, Task Type, Complexity, Status, and Dependency Type. Estimated days and forecast finish are formula-driven.</x:v>
      </x:c>
      <x:c r="M2" s="39" t="str">
        <x:v>Use dropdowns for Workstream, Task Type, Complexity, Status, and Dependency Type. Estimated days and forecast finish are formula-driven.</x:v>
      </x:c>
      <x:c r="N2" s="39" t="str">
        <x:v>Use dropdowns for Workstream, Task Type, Complexity, Status, and Dependency Type. Estimated days and forecast finish are formula-driven.</x:v>
      </x:c>
      <x:c r="O2" s="39" t="str">
        <x:v>Use dropdowns for Workstream, Task Type, Complexity, Status, and Dependency Type. Estimated days and forecast finish are formula-driven.</x:v>
      </x:c>
      <x:c r="P2" s="39" t="str">
        <x:v>Use dropdowns for Workstream, Task Type, Complexity, Status, and Dependency Type. Estimated days and forecast finish are formula-driven.</x:v>
      </x:c>
      <x:c r="Q2" s="39" t="str">
        <x:v>Use dropdowns for Workstream, Task Type, Complexity, Status, and Dependency Type. Estimated days and forecast finish are formula-driven.</x:v>
      </x:c>
      <x:c r="R2" s="39" t="str">
        <x:v>Use dropdowns for Workstream, Task Type, Complexity, Status, and Dependency Type. Estimated days and forecast finish are formula-driven.</x:v>
      </x:c>
      <x:c r="S2" s="39" t="str">
        <x:v>Use dropdowns for Workstream, Task Type, Complexity, Status, and Dependency Type. Estimated days and forecast finish are formula-driven.</x:v>
      </x:c>
      <x:c r="T2" s="39" t="str">
        <x:v>Use dropdowns for Workstream, Task Type, Complexity, Status, and Dependency Type. Estimated days and forecast finish are formula-driven.</x:v>
      </x:c>
      <x:c r="U2" s="39" t="str">
        <x:v>Use dropdowns for Workstream, Task Type, Complexity, Status, and Dependency Type. Estimated days and forecast finish are formula-driven.</x:v>
      </x:c>
      <x:c r="V2" s="39" t="str">
        <x:v>Use dropdowns for Workstream, Task Type, Complexity, Status, and Dependency Type. Estimated days and forecast finish are formula-driven.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</x:row>
    <x:row r="4" ht="34" customHeight="1">
      <x:c r="A4" s="44" t="str">
        <x:v>ID</x:v>
      </x:c>
      <x:c r="B4" s="44" t="str">
        <x:v>Workstream</x:v>
      </x:c>
      <x:c r="C4" s="44" t="str">
        <x:v>Task Type</x:v>
      </x:c>
      <x:c r="D4" s="44" t="str">
        <x:v>Task Name</x:v>
      </x:c>
      <x:c r="E4" s="44" t="str">
        <x:v>Owner</x:v>
      </x:c>
      <x:c r="F4" s="44" t="str">
        <x:v>Supporting Team</x:v>
      </x:c>
      <x:c r="G4" s="44" t="str">
        <x:v>Start Date</x:v>
      </x:c>
      <x:c r="H4" s="44" t="str">
        <x:v>Complexity</x:v>
      </x:c>
      <x:c r="I4" s="44" t="str">
        <x:v>Est Business Days</x:v>
      </x:c>
      <x:c r="J4" s="44" t="str">
        <x:v>Estimated Finish</x:v>
      </x:c>
      <x:c r="K4" s="44" t="str">
        <x:v>Need-By Date</x:v>
      </x:c>
      <x:c r="L4" s="44" t="str">
        <x:v>Actual Finish</x:v>
      </x:c>
      <x:c r="M4" s="44" t="str">
        <x:v>Variance Days</x:v>
      </x:c>
      <x:c r="N4" s="44" t="str">
        <x:v>Status</x:v>
      </x:c>
      <x:c r="O4" s="44" t="str">
        <x:v>% Complete</x:v>
      </x:c>
      <x:c r="P4" s="44" t="str">
        <x:v>Dependency Type</x:v>
      </x:c>
      <x:c r="Q4" s="44" t="str">
        <x:v>Dependency ID</x:v>
      </x:c>
      <x:c r="R4" s="44" t="str">
        <x:v>Jira Link</x:v>
      </x:c>
      <x:c r="S4" s="44" t="str">
        <x:v>Next Action</x:v>
      </x:c>
      <x:c r="T4" s="44" t="str">
        <x:v>Risk If Delayed</x:v>
      </x:c>
      <x:c r="U4" s="44" t="str">
        <x:v>Recovery Action</x:v>
      </x:c>
      <x:c r="V4" s="44" t="str">
        <x:v>Notes</x:v>
      </x:c>
    </x:row>
    <x:row r="5">
      <x:c r="A5" s="15" t="str">
        <x:v>AP-001</x:v>
      </x:c>
      <x:c r="B5" s="15" t="str">
        <x:v>Application Inventory</x:v>
      </x:c>
      <x:c r="C5" s="15" t="str">
        <x:v>Application Inventory</x:v>
      </x:c>
      <x:c r="D5" s="15" t="str">
        <x:v>Complete rationalized inventory of 42 CVIS legacy applications/tools/components</x:v>
      </x:c>
      <x:c r="E5" s="15" t="str">
        <x:v>CVIS</x:v>
      </x:c>
      <x:c r="F5" s="15" t="str"/>
      <x:c r="G5" s="20" t="n">
        <x:v>46249</x:v>
      </x:c>
      <x:c r="H5" s="15" t="str">
        <x:v>Medium</x:v>
      </x:c>
      <x:c r="I5" s="19" t="n">
        <x:f>IFERROR(INDEX('Assumptions'!$D$5:$G$22,MATCH(C5,'Assumptions'!$A$5:$A$22,0),MATCH(H5,'Assumptions'!$D$4:$G$4,0)),"")</x:f>
        <x:v>5</x:v>
      </x:c>
      <x:c r="J5" s="20" t="n">
        <x:f>IF(OR(G5="",I5=""),"",WORKDAY(G5,I5,'Assumptions'!$M$5:$M$24))</x:f>
        <x:v>46255</x:v>
      </x:c>
      <x:c r="K5" s="20" t="n">
        <x:v>46254</x:v>
      </x:c>
      <x:c r="L5" s="20"/>
      <x:c r="M5" s="19" t="n">
        <x:f>IF(K5="","",IF(L5&lt;&gt;"",L5-K5,IF(TODAY()&gt;K5,TODAY()-K5,0)))</x:f>
        <x:v>0</x:v>
      </x:c>
      <x:c r="N5" s="15" t="str">
        <x:v>In Progress</x:v>
      </x:c>
      <x:c r="O5" s="22" t="n">
        <x:v>0.55</x:v>
      </x:c>
      <x:c r="P5" s="15" t="str">
        <x:v>Internal CVIS</x:v>
      </x:c>
      <x:c r="Q5" s="15" t="str"/>
      <x:c r="R5" s="15" t="str"/>
      <x:c r="S5" s="15" t="str">
        <x:v>Validate app names, owners, purpose, tech, and CyberArk touchpoint from screenshot-derived inventory</x:v>
      </x:c>
      <x:c r="T5" s="15" t="str">
        <x:v>Incomplete inventory delays phase-one scope and wave planning</x:v>
      </x:c>
      <x:c r="U5" s="15" t="str">
        <x:v>Time-box owner validation and mark unknowns for follow-up</x:v>
      </x:c>
      <x:c r="V5" s="15" t="str"/>
    </x:row>
    <x:row r="6">
      <x:c r="A6" s="15" t="str">
        <x:v>AP-002</x:v>
      </x:c>
      <x:c r="B6" s="15" t="str">
        <x:v>NFRs / Governance</x:v>
      </x:c>
      <x:c r="C6" s="15" t="str">
        <x:v>NFR Documentation</x:v>
      </x:c>
      <x:c r="D6" s="15" t="str">
        <x:v>Create NFR package for Unity modernization pattern</x:v>
      </x:c>
      <x:c r="E6" s="15" t="str">
        <x:v>CVIS</x:v>
      </x:c>
      <x:c r="F6" s="15" t="str">
        <x:v>Architecture</x:v>
      </x:c>
      <x:c r="G6" s="20" t="n">
        <x:v>46250</x:v>
      </x:c>
      <x:c r="H6" s="15" t="str">
        <x:v>Medium</x:v>
      </x:c>
      <x:c r="I6" s="19" t="n">
        <x:f>IFERROR(INDEX('Assumptions'!$D$5:$G$22,MATCH(C6,'Assumptions'!$A$5:$A$22,0),MATCH(H6,'Assumptions'!$D$4:$G$4,0)),"")</x:f>
        <x:v>4</x:v>
      </x:c>
      <x:c r="J6" s="20" t="n">
        <x:f>IF(OR(G6="",I6=""),"",WORKDAY(G6,I6,'Assumptions'!$M$5:$M$24))</x:f>
        <x:v>46254</x:v>
      </x:c>
      <x:c r="K6" s="20" t="n">
        <x:v>46257</x:v>
      </x:c>
      <x:c r="L6" s="20"/>
      <x:c r="M6" s="19" t="n">
        <x:f>IF(K6="","",IF(L6&lt;&gt;"",L6-K6,IF(TODAY()&gt;K6,TODAY()-K6,0)))</x:f>
        <x:v>0</x:v>
      </x:c>
      <x:c r="N6" s="15" t="str">
        <x:v>Not Started</x:v>
      </x:c>
      <x:c r="O6" s="22" t="n">
        <x:v>0</x:v>
      </x:c>
      <x:c r="P6" s="15" t="str">
        <x:v>Architecture</x:v>
      </x:c>
      <x:c r="Q6" s="15" t="str">
        <x:v>DEP-003</x:v>
      </x:c>
      <x:c r="R6" s="15" t="str"/>
      <x:c r="S6" s="15" t="str">
        <x:v>Confirm required NFR sections and owner expectations</x:v>
      </x:c>
      <x:c r="T6" s="15" t="str">
        <x:v>Architecture approval cannot start</x:v>
      </x:c>
      <x:c r="U6" s="15" t="str">
        <x:v>Use repeatable NFR template for all apps</x:v>
      </x:c>
      <x:c r="V6" s="15" t="str"/>
    </x:row>
    <x:row r="7">
      <x:c r="A7" s="15" t="str">
        <x:v>AP-003</x:v>
      </x:c>
      <x:c r="B7" s="15" t="str">
        <x:v>Unity Architecture</x:v>
      </x:c>
      <x:c r="C7" s="15" t="str">
        <x:v>Unity Pattern Mapping</x:v>
      </x:c>
      <x:c r="D7" s="15" t="str">
        <x:v>Define repeatable Unity migration pattern</x:v>
      </x:c>
      <x:c r="E7" s="15" t="str">
        <x:v>CVIS</x:v>
      </x:c>
      <x:c r="F7" s="15" t="str">
        <x:v>Architecture</x:v>
      </x:c>
      <x:c r="G7" s="20" t="n">
        <x:v>46250</x:v>
      </x:c>
      <x:c r="H7" s="15" t="str">
        <x:v>High</x:v>
      </x:c>
      <x:c r="I7" s="19" t="n">
        <x:f>IFERROR(INDEX('Assumptions'!$D$5:$G$22,MATCH(C7,'Assumptions'!$A$5:$A$22,0),MATCH(H7,'Assumptions'!$D$4:$G$4,0)),"")</x:f>
        <x:v>8</x:v>
      </x:c>
      <x:c r="J7" s="20" t="n">
        <x:f>IF(OR(G7="",I7=""),"",WORKDAY(G7,I7,'Assumptions'!$M$5:$M$24))</x:f>
        <x:v>46260</x:v>
      </x:c>
      <x:c r="K7" s="20" t="n">
        <x:v>46259</x:v>
      </x:c>
      <x:c r="L7" s="20"/>
      <x:c r="M7" s="19" t="n">
        <x:f>IF(K7="","",IF(L7&lt;&gt;"",L7-K7,IF(TODAY()&gt;K7,TODAY()-K7,0)))</x:f>
        <x:v>0</x:v>
      </x:c>
      <x:c r="N7" s="15" t="str">
        <x:v>Not Started</x:v>
      </x:c>
      <x:c r="O7" s="22" t="n">
        <x:v>0</x:v>
      </x:c>
      <x:c r="P7" s="15" t="str">
        <x:v>Architecture</x:v>
      </x:c>
      <x:c r="Q7" s="15" t="str">
        <x:v>DEP-003</x:v>
      </x:c>
      <x:c r="R7" s="15" t="str"/>
      <x:c r="S7" s="15" t="str">
        <x:v>Map legacy app patterns to Unity components</x:v>
      </x:c>
      <x:c r="T7" s="15" t="str">
        <x:v>Apps migrate inconsistently</x:v>
      </x:c>
      <x:c r="U7" s="15" t="str">
        <x:v>Produce one reference pattern before broad migration</x:v>
      </x:c>
      <x:c r="V7" s="15" t="str"/>
    </x:row>
    <x:row r="8">
      <x:c r="A8" s="15" t="str">
        <x:v>AP-004</x:v>
      </x:c>
      <x:c r="B8" s="15" t="str">
        <x:v>Container Onboarding</x:v>
      </x:c>
      <x:c r="C8" s="15" t="str">
        <x:v>Container Onboarding</x:v>
      </x:c>
      <x:c r="D8" s="15" t="str">
        <x:v>Submit container platform onboarding request after PtB approval</x:v>
      </x:c>
      <x:c r="E8" s="15" t="str">
        <x:v>CVIS</x:v>
      </x:c>
      <x:c r="F8" s="15" t="str">
        <x:v>Platform Team</x:v>
      </x:c>
      <x:c r="G8" s="20" t="n">
        <x:v>46251</x:v>
      </x:c>
      <x:c r="H8" s="15" t="str">
        <x:v>Medium</x:v>
      </x:c>
      <x:c r="I8" s="19" t="n">
        <x:f>IFERROR(INDEX('Assumptions'!$D$5:$G$22,MATCH(C8,'Assumptions'!$A$5:$A$22,0),MATCH(H8,'Assumptions'!$D$4:$G$4,0)),"")</x:f>
        <x:v>10</x:v>
      </x:c>
      <x:c r="J8" s="20" t="n">
        <x:f>IF(OR(G8="",I8=""),"",WORKDAY(G8,I8,'Assumptions'!$M$5:$M$24))</x:f>
        <x:v>46265</x:v>
      </x:c>
      <x:c r="K8" s="20" t="n">
        <x:v>46261</x:v>
      </x:c>
      <x:c r="L8" s="20"/>
      <x:c r="M8" s="19" t="n">
        <x:f>IF(K8="","",IF(L8&lt;&gt;"",L8-K8,IF(TODAY()&gt;K8,TODAY()-K8,0)))</x:f>
        <x:v>0</x:v>
      </x:c>
      <x:c r="N8" s="15" t="str">
        <x:v>Waiting External</x:v>
      </x:c>
      <x:c r="O8" s="22" t="n">
        <x:v>0</x:v>
      </x:c>
      <x:c r="P8" s="15" t="str">
        <x:v>Platform / Containers</x:v>
      </x:c>
      <x:c r="Q8" s="15" t="str">
        <x:v>DEP-001</x:v>
      </x:c>
      <x:c r="R8" s="15" t="str"/>
      <x:c r="S8" s="15" t="str">
        <x:v>Keep request package ready; submit immediately after PtB approval</x:v>
      </x:c>
      <x:c r="T8" s="15" t="str">
        <x:v>Pilot cannot deploy to target platform until request is allowed</x:v>
      </x:c>
      <x:c r="U8" s="15" t="str">
        <x:v>Submit same day PtB clears and escalate if intake stalls</x:v>
      </x:c>
      <x:c r="V8" s="15" t="str">
        <x:v>PtB approval is required before container resources can be requested.</x:v>
      </x:c>
    </x:row>
    <x:row r="9">
      <x:c r="A9" s="15" t="str">
        <x:v>AP-005</x:v>
      </x:c>
      <x:c r="B9" s="15" t="str">
        <x:v>Apigee / API Onboarding</x:v>
      </x:c>
      <x:c r="C9" s="15" t="str">
        <x:v>Apigee Onboarding</x:v>
      </x:c>
      <x:c r="D9" s="15" t="str">
        <x:v>Submit Apigee onboarding request for API exposure pattern after PtB approval</x:v>
      </x:c>
      <x:c r="E9" s="15" t="str">
        <x:v>CVIS</x:v>
      </x:c>
      <x:c r="F9" s="15" t="str">
        <x:v>API Team</x:v>
      </x:c>
      <x:c r="G9" s="20" t="n">
        <x:v>46251</x:v>
      </x:c>
      <x:c r="H9" s="15" t="str">
        <x:v>Medium</x:v>
      </x:c>
      <x:c r="I9" s="19" t="n">
        <x:f>IFERROR(INDEX('Assumptions'!$D$5:$G$22,MATCH(C9,'Assumptions'!$A$5:$A$22,0),MATCH(H9,'Assumptions'!$D$4:$G$4,0)),"")</x:f>
        <x:v>10</x:v>
      </x:c>
      <x:c r="J9" s="20" t="n">
        <x:f>IF(OR(G9="",I9=""),"",WORKDAY(G9,I9,'Assumptions'!$M$5:$M$24))</x:f>
        <x:v>46265</x:v>
      </x:c>
      <x:c r="K9" s="20" t="n">
        <x:v>46261</x:v>
      </x:c>
      <x:c r="L9" s="20"/>
      <x:c r="M9" s="19" t="n">
        <x:f>IF(K9="","",IF(L9&lt;&gt;"",L9-K9,IF(TODAY()&gt;K9,TODAY()-K9,0)))</x:f>
        <x:v>0</x:v>
      </x:c>
      <x:c r="N9" s="15" t="str">
        <x:v>Waiting External</x:v>
      </x:c>
      <x:c r="O9" s="22" t="n">
        <x:v>0</x:v>
      </x:c>
      <x:c r="P9" s="15" t="str">
        <x:v>Apigee / API</x:v>
      </x:c>
      <x:c r="Q9" s="15" t="str">
        <x:v>DEP-002</x:v>
      </x:c>
      <x:c r="R9" s="15" t="str"/>
      <x:c r="S9" s="15" t="str">
        <x:v>Keep API intake requirements and target endpoints ready; submit after PtB approval</x:v>
      </x:c>
      <x:c r="T9" s="15" t="str">
        <x:v>API-dependent apps cannot complete integration until request is allowed</x:v>
      </x:c>
      <x:c r="U9" s="15" t="str">
        <x:v>Submit same day PtB clears and track API/DB design follow-through</x:v>
      </x:c>
      <x:c r="V9" s="15" t="str">
        <x:v>PtB approval is required before Apigee/API resources can be requested.</x:v>
      </x:c>
    </x:row>
    <x:row r="10">
      <x:c r="A10" s="15" t="str">
        <x:v>AP-006</x:v>
      </x:c>
      <x:c r="B10" s="15" t="str">
        <x:v>Build / Refactor</x:v>
      </x:c>
      <x:c r="C10" s="15" t="str">
        <x:v>Discovery</x:v>
      </x:c>
      <x:c r="D10" s="15" t="str">
        <x:v>Select pilot application and document current behavior</x:v>
      </x:c>
      <x:c r="E10" s="15" t="str">
        <x:v>CVIS</x:v>
      </x:c>
      <x:c r="F10" s="15" t="str">
        <x:v>CyberArk SME</x:v>
      </x:c>
      <x:c r="G10" s="20" t="n">
        <x:v>46252</x:v>
      </x:c>
      <x:c r="H10" s="15" t="str">
        <x:v>Medium</x:v>
      </x:c>
      <x:c r="I10" s="19" t="n">
        <x:f>IFERROR(INDEX('Assumptions'!$D$5:$G$22,MATCH(C10,'Assumptions'!$A$5:$A$22,0),MATCH(H10,'Assumptions'!$D$4:$G$4,0)),"")</x:f>
        <x:v>4</x:v>
      </x:c>
      <x:c r="J10" s="20" t="n">
        <x:f>IF(OR(G10="",I10=""),"",WORKDAY(G10,I10,'Assumptions'!$M$5:$M$24))</x:f>
        <x:v>46258</x:v>
      </x:c>
      <x:c r="K10" s="20" t="n">
        <x:v>46257</x:v>
      </x:c>
      <x:c r="L10" s="20"/>
      <x:c r="M10" s="19" t="n">
        <x:f>IF(K10="","",IF(L10&lt;&gt;"",L10-K10,IF(TODAY()&gt;K10,TODAY()-K10,0)))</x:f>
        <x:v>0</x:v>
      </x:c>
      <x:c r="N10" s="15" t="str">
        <x:v>Not Started</x:v>
      </x:c>
      <x:c r="O10" s="22" t="n">
        <x:v>0</x:v>
      </x:c>
      <x:c r="P10" s="15" t="str">
        <x:v>CyberArk Access</x:v>
      </x:c>
      <x:c r="Q10" s="15" t="str">
        <x:v>DEP-004</x:v>
      </x:c>
      <x:c r="R10" s="15" t="str"/>
      <x:c r="S10" s="15" t="str">
        <x:v>Pick low/medium-risk pilot with known users</x:v>
      </x:c>
      <x:c r="T10" s="15" t="str">
        <x:v>Pilot start date slips</x:v>
      </x:c>
      <x:c r="U10" s="15" t="str">
        <x:v>Select backup pilot if access is delayed</x:v>
      </x:c>
      <x:c r="V10" s="15" t="str"/>
    </x:row>
    <x:row r="11">
      <x:c r="A11" s="15" t="str">
        <x:v>AP-007</x:v>
      </x:c>
      <x:c r="B11" s="15" t="str">
        <x:v>Application Inventory</x:v>
      </x:c>
      <x:c r="C11" s="15" t="str">
        <x:v>Discovery</x:v>
      </x:c>
      <x:c r="D11" s="15" t="str">
        <x:v>TBA - validate screenshot-derived CVIS application details with owners</x:v>
      </x:c>
      <x:c r="E11" s="15" t="str">
        <x:v>CVIS</x:v>
      </x:c>
      <x:c r="F11" s="15" t="str"/>
      <x:c r="G11" s="20" t="n">
        <x:v>46249</x:v>
      </x:c>
      <x:c r="H11" s="15" t="str">
        <x:v>Unknown</x:v>
      </x:c>
      <x:c r="I11" s="19" t="n">
        <x:f>IFERROR(INDEX('Assumptions'!$D$5:$G$22,MATCH(C11,'Assumptions'!$A$5:$A$22,0),MATCH(H11,'Assumptions'!$D$4:$G$4,0)),"")</x:f>
        <x:v>5</x:v>
      </x:c>
      <x:c r="J11" s="20" t="n">
        <x:f>IF(OR(G11="",I11=""),"",WORKDAY(G11,I11,'Assumptions'!$M$5:$M$24))</x:f>
        <x:v>46255</x:v>
      </x:c>
      <x:c r="K11" s="20" t="n">
        <x:v>46254</x:v>
      </x:c>
      <x:c r="L11" s="20"/>
      <x:c r="M11" s="19" t="n">
        <x:f>IF(K11="","",IF(L11&lt;&gt;"",L11-K11,IF(TODAY()&gt;K11,TODAY()-K11,0)))</x:f>
        <x:v>0</x:v>
      </x:c>
      <x:c r="N11" s="15" t="str">
        <x:v>In Progress</x:v>
      </x:c>
      <x:c r="O11" s="22" t="n">
        <x:v>0.4</x:v>
      </x:c>
      <x:c r="P11" s="15" t="str">
        <x:v>Internal CVIS</x:v>
      </x:c>
      <x:c r="Q11" s="15" t="str"/>
      <x:c r="R11" s="15" t="str"/>
      <x:c r="S11" s="15" t="str">
        <x:v>Owner validation still required for OCR-derived application details, phase, usage, and disposition</x:v>
      </x:c>
      <x:c r="T11" s="15" t="str">
        <x:v>Unvalidated app details limit date confidence</x:v>
      </x:c>
      <x:c r="U11" s="15" t="str">
        <x:v>Send rationalization ask and track missing owner responses</x:v>
      </x:c>
      <x:c r="V11" s="15" t="str">
        <x:v>Screenshot batch received; validation remains open</x:v>
      </x:c>
    </x:row>
    <x:row r="12">
      <x:c r="A12" s="15"/>
      <x:c r="B12" s="15"/>
      <x:c r="C12" s="15"/>
      <x:c r="D12" s="15"/>
      <x:c r="E12" s="15"/>
      <x:c r="F12" s="15"/>
      <x:c r="G12" s="20"/>
      <x:c r="H12" s="15"/>
      <x:c r="I12" s="19" t="str">
        <x:f>IFERROR(INDEX('Assumptions'!$D$5:$G$22,MATCH(C12,'Assumptions'!$A$5:$A$22,0),MATCH(H12,'Assumptions'!$D$4:$G$4,0)),"")</x:f>
      </x:c>
      <x:c r="J12" s="20" t="str">
        <x:f>IF(OR(G12="",I12=""),"",WORKDAY(G12,I12,'Assumptions'!$M$5:$M$24))</x:f>
      </x:c>
      <x:c r="K12" s="20"/>
      <x:c r="L12" s="20"/>
      <x:c r="M12" s="19" t="str">
        <x:f>IF(K12="","",IF(L12&lt;&gt;"",L12-K12,IF(TODAY()&gt;K12,TODAY()-K12,0)))</x:f>
      </x:c>
      <x:c r="N12" s="15"/>
      <x:c r="O12" s="22"/>
      <x:c r="P12" s="15"/>
      <x:c r="Q12" s="15"/>
      <x:c r="R12" s="15"/>
      <x:c r="S12" s="15"/>
      <x:c r="T12" s="15"/>
      <x:c r="U12" s="15"/>
      <x:c r="V12" s="15"/>
    </x:row>
    <x:row r="13">
      <x:c r="A13" s="15"/>
      <x:c r="B13" s="15"/>
      <x:c r="C13" s="15"/>
      <x:c r="D13" s="15"/>
      <x:c r="E13" s="15"/>
      <x:c r="F13" s="15"/>
      <x:c r="G13" s="20"/>
      <x:c r="H13" s="15"/>
      <x:c r="I13" s="19" t="str">
        <x:f>IFERROR(INDEX('Assumptions'!$D$5:$G$22,MATCH(C13,'Assumptions'!$A$5:$A$22,0),MATCH(H13,'Assumptions'!$D$4:$G$4,0)),"")</x:f>
      </x:c>
      <x:c r="J13" s="20" t="str">
        <x:f>IF(OR(G13="",I13=""),"",WORKDAY(G13,I13,'Assumptions'!$M$5:$M$24))</x:f>
      </x:c>
      <x:c r="K13" s="20"/>
      <x:c r="L13" s="20"/>
      <x:c r="M13" s="19" t="str">
        <x:f>IF(K13="","",IF(L13&lt;&gt;"",L13-K13,IF(TODAY()&gt;K13,TODAY()-K13,0)))</x:f>
      </x:c>
      <x:c r="N13" s="15"/>
      <x:c r="O13" s="22"/>
      <x:c r="P13" s="15"/>
      <x:c r="Q13" s="15"/>
      <x:c r="R13" s="15"/>
      <x:c r="S13" s="15"/>
      <x:c r="T13" s="15"/>
      <x:c r="U13" s="15"/>
      <x:c r="V13" s="15"/>
    </x:row>
    <x:row r="14">
      <x:c r="A14" s="15"/>
      <x:c r="B14" s="15"/>
      <x:c r="C14" s="15"/>
      <x:c r="D14" s="15"/>
      <x:c r="E14" s="15"/>
      <x:c r="F14" s="15"/>
      <x:c r="G14" s="20"/>
      <x:c r="H14" s="15"/>
      <x:c r="I14" s="19" t="str">
        <x:f>IFERROR(INDEX('Assumptions'!$D$5:$G$22,MATCH(C14,'Assumptions'!$A$5:$A$22,0),MATCH(H14,'Assumptions'!$D$4:$G$4,0)),"")</x:f>
      </x:c>
      <x:c r="J14" s="20" t="str">
        <x:f>IF(OR(G14="",I14=""),"",WORKDAY(G14,I14,'Assumptions'!$M$5:$M$24))</x:f>
      </x:c>
      <x:c r="K14" s="20"/>
      <x:c r="L14" s="20"/>
      <x:c r="M14" s="19" t="str">
        <x:f>IF(K14="","",IF(L14&lt;&gt;"",L14-K14,IF(TODAY()&gt;K14,TODAY()-K14,0)))</x:f>
      </x:c>
      <x:c r="N14" s="15"/>
      <x:c r="O14" s="22"/>
      <x:c r="P14" s="15"/>
      <x:c r="Q14" s="15"/>
      <x:c r="R14" s="15"/>
      <x:c r="S14" s="15"/>
      <x:c r="T14" s="15"/>
      <x:c r="U14" s="15"/>
      <x:c r="V14" s="15"/>
    </x:row>
    <x:row r="15">
      <x:c r="A15" s="15"/>
      <x:c r="B15" s="15"/>
      <x:c r="C15" s="15"/>
      <x:c r="D15" s="15"/>
      <x:c r="E15" s="15"/>
      <x:c r="F15" s="15"/>
      <x:c r="G15" s="20"/>
      <x:c r="H15" s="15"/>
      <x:c r="I15" s="19" t="str">
        <x:f>IFERROR(INDEX('Assumptions'!$D$5:$G$22,MATCH(C15,'Assumptions'!$A$5:$A$22,0),MATCH(H15,'Assumptions'!$D$4:$G$4,0)),"")</x:f>
      </x:c>
      <x:c r="J15" s="20" t="str">
        <x:f>IF(OR(G15="",I15=""),"",WORKDAY(G15,I15,'Assumptions'!$M$5:$M$24))</x:f>
      </x:c>
      <x:c r="K15" s="20"/>
      <x:c r="L15" s="20"/>
      <x:c r="M15" s="19" t="str">
        <x:f>IF(K15="","",IF(L15&lt;&gt;"",L15-K15,IF(TODAY()&gt;K15,TODAY()-K15,0)))</x:f>
      </x:c>
      <x:c r="N15" s="15"/>
      <x:c r="O15" s="22"/>
      <x:c r="P15" s="15"/>
      <x:c r="Q15" s="15"/>
      <x:c r="R15" s="15"/>
      <x:c r="S15" s="15"/>
      <x:c r="T15" s="15"/>
      <x:c r="U15" s="15"/>
      <x:c r="V15" s="15"/>
    </x:row>
    <x:row r="16">
      <x:c r="A16" s="15"/>
      <x:c r="B16" s="15"/>
      <x:c r="C16" s="15"/>
      <x:c r="D16" s="15"/>
      <x:c r="E16" s="15"/>
      <x:c r="F16" s="15"/>
      <x:c r="G16" s="20"/>
      <x:c r="H16" s="15"/>
      <x:c r="I16" s="19" t="str">
        <x:f>IFERROR(INDEX('Assumptions'!$D$5:$G$22,MATCH(C16,'Assumptions'!$A$5:$A$22,0),MATCH(H16,'Assumptions'!$D$4:$G$4,0)),"")</x:f>
      </x:c>
      <x:c r="J16" s="20" t="str">
        <x:f>IF(OR(G16="",I16=""),"",WORKDAY(G16,I16,'Assumptions'!$M$5:$M$24))</x:f>
      </x:c>
      <x:c r="K16" s="20"/>
      <x:c r="L16" s="20"/>
      <x:c r="M16" s="19" t="str">
        <x:f>IF(K16="","",IF(L16&lt;&gt;"",L16-K16,IF(TODAY()&gt;K16,TODAY()-K16,0)))</x:f>
      </x:c>
      <x:c r="N16" s="15"/>
      <x:c r="O16" s="22"/>
      <x:c r="P16" s="15"/>
      <x:c r="Q16" s="15"/>
      <x:c r="R16" s="15"/>
      <x:c r="S16" s="15"/>
      <x:c r="T16" s="15"/>
      <x:c r="U16" s="15"/>
      <x:c r="V16" s="15"/>
    </x:row>
    <x:row r="17">
      <x:c r="A17" s="15"/>
      <x:c r="B17" s="15"/>
      <x:c r="C17" s="15"/>
      <x:c r="D17" s="15"/>
      <x:c r="E17" s="15"/>
      <x:c r="F17" s="15"/>
      <x:c r="G17" s="20"/>
      <x:c r="H17" s="15"/>
      <x:c r="I17" s="19" t="str">
        <x:f>IFERROR(INDEX('Assumptions'!$D$5:$G$22,MATCH(C17,'Assumptions'!$A$5:$A$22,0),MATCH(H17,'Assumptions'!$D$4:$G$4,0)),"")</x:f>
      </x:c>
      <x:c r="J17" s="20" t="str">
        <x:f>IF(OR(G17="",I17=""),"",WORKDAY(G17,I17,'Assumptions'!$M$5:$M$24))</x:f>
      </x:c>
      <x:c r="K17" s="20"/>
      <x:c r="L17" s="20"/>
      <x:c r="M17" s="19" t="str">
        <x:f>IF(K17="","",IF(L17&lt;&gt;"",L17-K17,IF(TODAY()&gt;K17,TODAY()-K17,0)))</x:f>
      </x:c>
      <x:c r="N17" s="15"/>
      <x:c r="O17" s="22"/>
      <x:c r="P17" s="15"/>
      <x:c r="Q17" s="15"/>
      <x:c r="R17" s="15"/>
      <x:c r="S17" s="15"/>
      <x:c r="T17" s="15"/>
      <x:c r="U17" s="15"/>
      <x:c r="V17" s="15"/>
    </x:row>
    <x:row r="18">
      <x:c r="A18" s="15"/>
      <x:c r="B18" s="15"/>
      <x:c r="C18" s="15"/>
      <x:c r="D18" s="15"/>
      <x:c r="E18" s="15"/>
      <x:c r="F18" s="15"/>
      <x:c r="G18" s="20"/>
      <x:c r="H18" s="15"/>
      <x:c r="I18" s="19" t="str">
        <x:f>IFERROR(INDEX('Assumptions'!$D$5:$G$22,MATCH(C18,'Assumptions'!$A$5:$A$22,0),MATCH(H18,'Assumptions'!$D$4:$G$4,0)),"")</x:f>
      </x:c>
      <x:c r="J18" s="20" t="str">
        <x:f>IF(OR(G18="",I18=""),"",WORKDAY(G18,I18,'Assumptions'!$M$5:$M$24))</x:f>
      </x:c>
      <x:c r="K18" s="20"/>
      <x:c r="L18" s="20"/>
      <x:c r="M18" s="19" t="str">
        <x:f>IF(K18="","",IF(L18&lt;&gt;"",L18-K18,IF(TODAY()&gt;K18,TODAY()-K18,0)))</x:f>
      </x:c>
      <x:c r="N18" s="15"/>
      <x:c r="O18" s="22"/>
      <x:c r="P18" s="15"/>
      <x:c r="Q18" s="15"/>
      <x:c r="R18" s="15"/>
      <x:c r="S18" s="15"/>
      <x:c r="T18" s="15"/>
      <x:c r="U18" s="15"/>
      <x:c r="V18" s="15"/>
    </x:row>
    <x:row r="19">
      <x:c r="A19" s="15"/>
      <x:c r="B19" s="15"/>
      <x:c r="C19" s="15"/>
      <x:c r="D19" s="15"/>
      <x:c r="E19" s="15"/>
      <x:c r="F19" s="15"/>
      <x:c r="G19" s="20"/>
      <x:c r="H19" s="15"/>
      <x:c r="I19" s="19" t="str">
        <x:f>IFERROR(INDEX('Assumptions'!$D$5:$G$22,MATCH(C19,'Assumptions'!$A$5:$A$22,0),MATCH(H19,'Assumptions'!$D$4:$G$4,0)),"")</x:f>
      </x:c>
      <x:c r="J19" s="20" t="str">
        <x:f>IF(OR(G19="",I19=""),"",WORKDAY(G19,I19,'Assumptions'!$M$5:$M$24))</x:f>
      </x:c>
      <x:c r="K19" s="20"/>
      <x:c r="L19" s="20"/>
      <x:c r="M19" s="19" t="str">
        <x:f>IF(K19="","",IF(L19&lt;&gt;"",L19-K19,IF(TODAY()&gt;K19,TODAY()-K19,0)))</x:f>
      </x:c>
      <x:c r="N19" s="15"/>
      <x:c r="O19" s="22"/>
      <x:c r="P19" s="15"/>
      <x:c r="Q19" s="15"/>
      <x:c r="R19" s="15"/>
      <x:c r="S19" s="15"/>
      <x:c r="T19" s="15"/>
      <x:c r="U19" s="15"/>
      <x:c r="V19" s="15"/>
    </x:row>
    <x:row r="20">
      <x:c r="A20" s="15"/>
      <x:c r="B20" s="15"/>
      <x:c r="C20" s="15"/>
      <x:c r="D20" s="15"/>
      <x:c r="E20" s="15"/>
      <x:c r="F20" s="15"/>
      <x:c r="G20" s="20"/>
      <x:c r="H20" s="15"/>
      <x:c r="I20" s="19" t="str">
        <x:f>IFERROR(INDEX('Assumptions'!$D$5:$G$22,MATCH(C20,'Assumptions'!$A$5:$A$22,0),MATCH(H20,'Assumptions'!$D$4:$G$4,0)),"")</x:f>
      </x:c>
      <x:c r="J20" s="20" t="str">
        <x:f>IF(OR(G20="",I20=""),"",WORKDAY(G20,I20,'Assumptions'!$M$5:$M$24))</x:f>
      </x:c>
      <x:c r="K20" s="20"/>
      <x:c r="L20" s="20"/>
      <x:c r="M20" s="19" t="str">
        <x:f>IF(K20="","",IF(L20&lt;&gt;"",L20-K20,IF(TODAY()&gt;K20,TODAY()-K20,0)))</x:f>
      </x:c>
      <x:c r="N20" s="15"/>
      <x:c r="O20" s="22"/>
      <x:c r="P20" s="15"/>
      <x:c r="Q20" s="15"/>
      <x:c r="R20" s="15"/>
      <x:c r="S20" s="15"/>
      <x:c r="T20" s="15"/>
      <x:c r="U20" s="15"/>
      <x:c r="V20" s="15"/>
    </x:row>
    <x:row r="21">
      <x:c r="A21" s="15"/>
      <x:c r="B21" s="15"/>
      <x:c r="C21" s="15"/>
      <x:c r="D21" s="15"/>
      <x:c r="E21" s="15"/>
      <x:c r="F21" s="15"/>
      <x:c r="G21" s="20"/>
      <x:c r="H21" s="15"/>
      <x:c r="I21" s="19" t="str">
        <x:f>IFERROR(INDEX('Assumptions'!$D$5:$G$22,MATCH(C21,'Assumptions'!$A$5:$A$22,0),MATCH(H21,'Assumptions'!$D$4:$G$4,0)),"")</x:f>
      </x:c>
      <x:c r="J21" s="20" t="str">
        <x:f>IF(OR(G21="",I21=""),"",WORKDAY(G21,I21,'Assumptions'!$M$5:$M$24))</x:f>
      </x:c>
      <x:c r="K21" s="20"/>
      <x:c r="L21" s="20"/>
      <x:c r="M21" s="19" t="str">
        <x:f>IF(K21="","",IF(L21&lt;&gt;"",L21-K21,IF(TODAY()&gt;K21,TODAY()-K21,0)))</x:f>
      </x:c>
      <x:c r="N21" s="15"/>
      <x:c r="O21" s="22"/>
      <x:c r="P21" s="15"/>
      <x:c r="Q21" s="15"/>
      <x:c r="R21" s="15"/>
      <x:c r="S21" s="15"/>
      <x:c r="T21" s="15"/>
      <x:c r="U21" s="15"/>
      <x:c r="V21" s="15"/>
    </x:row>
    <x:row r="22">
      <x:c r="A22" s="15"/>
      <x:c r="B22" s="15"/>
      <x:c r="C22" s="15"/>
      <x:c r="D22" s="15"/>
      <x:c r="E22" s="15"/>
      <x:c r="F22" s="15"/>
      <x:c r="G22" s="20"/>
      <x:c r="H22" s="15"/>
      <x:c r="I22" s="19" t="str">
        <x:f>IFERROR(INDEX('Assumptions'!$D$5:$G$22,MATCH(C22,'Assumptions'!$A$5:$A$22,0),MATCH(H22,'Assumptions'!$D$4:$G$4,0)),"")</x:f>
      </x:c>
      <x:c r="J22" s="20" t="str">
        <x:f>IF(OR(G22="",I22=""),"",WORKDAY(G22,I22,'Assumptions'!$M$5:$M$24))</x:f>
      </x:c>
      <x:c r="K22" s="20"/>
      <x:c r="L22" s="20"/>
      <x:c r="M22" s="19" t="str">
        <x:f>IF(K22="","",IF(L22&lt;&gt;"",L22-K22,IF(TODAY()&gt;K22,TODAY()-K22,0)))</x:f>
      </x:c>
      <x:c r="N22" s="15"/>
      <x:c r="O22" s="22"/>
      <x:c r="P22" s="15"/>
      <x:c r="Q22" s="15"/>
      <x:c r="R22" s="15"/>
      <x:c r="S22" s="15"/>
      <x:c r="T22" s="15"/>
      <x:c r="U22" s="15"/>
      <x:c r="V22" s="15"/>
    </x:row>
    <x:row r="23">
      <x:c r="A23" s="15"/>
      <x:c r="B23" s="15"/>
      <x:c r="C23" s="15"/>
      <x:c r="D23" s="15"/>
      <x:c r="E23" s="15"/>
      <x:c r="F23" s="15"/>
      <x:c r="G23" s="20"/>
      <x:c r="H23" s="15"/>
      <x:c r="I23" s="19" t="str">
        <x:f>IFERROR(INDEX('Assumptions'!$D$5:$G$22,MATCH(C23,'Assumptions'!$A$5:$A$22,0),MATCH(H23,'Assumptions'!$D$4:$G$4,0)),"")</x:f>
      </x:c>
      <x:c r="J23" s="20" t="str">
        <x:f>IF(OR(G23="",I23=""),"",WORKDAY(G23,I23,'Assumptions'!$M$5:$M$24))</x:f>
      </x:c>
      <x:c r="K23" s="20"/>
      <x:c r="L23" s="20"/>
      <x:c r="M23" s="19" t="str">
        <x:f>IF(K23="","",IF(L23&lt;&gt;"",L23-K23,IF(TODAY()&gt;K23,TODAY()-K23,0)))</x:f>
      </x:c>
      <x:c r="N23" s="15"/>
      <x:c r="O23" s="22"/>
      <x:c r="P23" s="15"/>
      <x:c r="Q23" s="15"/>
      <x:c r="R23" s="15"/>
      <x:c r="S23" s="15"/>
      <x:c r="T23" s="15"/>
      <x:c r="U23" s="15"/>
      <x:c r="V23" s="15"/>
    </x:row>
    <x:row r="24">
      <x:c r="A24" s="15"/>
      <x:c r="B24" s="15"/>
      <x:c r="C24" s="15"/>
      <x:c r="D24" s="15"/>
      <x:c r="E24" s="15"/>
      <x:c r="F24" s="15"/>
      <x:c r="G24" s="20"/>
      <x:c r="H24" s="15"/>
      <x:c r="I24" s="19" t="str">
        <x:f>IFERROR(INDEX('Assumptions'!$D$5:$G$22,MATCH(C24,'Assumptions'!$A$5:$A$22,0),MATCH(H24,'Assumptions'!$D$4:$G$4,0)),"")</x:f>
      </x:c>
      <x:c r="J24" s="20" t="str">
        <x:f>IF(OR(G24="",I24=""),"",WORKDAY(G24,I24,'Assumptions'!$M$5:$M$24))</x:f>
      </x:c>
      <x:c r="K24" s="20"/>
      <x:c r="L24" s="20"/>
      <x:c r="M24" s="19" t="str">
        <x:f>IF(K24="","",IF(L24&lt;&gt;"",L24-K24,IF(TODAY()&gt;K24,TODAY()-K24,0)))</x:f>
      </x:c>
      <x:c r="N24" s="15"/>
      <x:c r="O24" s="22"/>
      <x:c r="P24" s="15"/>
      <x:c r="Q24" s="15"/>
      <x:c r="R24" s="15"/>
      <x:c r="S24" s="15"/>
      <x:c r="T24" s="15"/>
      <x:c r="U24" s="15"/>
      <x:c r="V24" s="15"/>
    </x:row>
    <x:row r="25">
      <x:c r="A25" s="15"/>
      <x:c r="B25" s="15"/>
      <x:c r="C25" s="15"/>
      <x:c r="D25" s="15"/>
      <x:c r="E25" s="15"/>
      <x:c r="F25" s="15"/>
      <x:c r="G25" s="20"/>
      <x:c r="H25" s="15"/>
      <x:c r="I25" s="19" t="str">
        <x:f>IFERROR(INDEX('Assumptions'!$D$5:$G$22,MATCH(C25,'Assumptions'!$A$5:$A$22,0),MATCH(H25,'Assumptions'!$D$4:$G$4,0)),"")</x:f>
      </x:c>
      <x:c r="J25" s="20" t="str">
        <x:f>IF(OR(G25="",I25=""),"",WORKDAY(G25,I25,'Assumptions'!$M$5:$M$24))</x:f>
      </x:c>
      <x:c r="K25" s="20"/>
      <x:c r="L25" s="20"/>
      <x:c r="M25" s="19" t="str">
        <x:f>IF(K25="","",IF(L25&lt;&gt;"",L25-K25,IF(TODAY()&gt;K25,TODAY()-K25,0)))</x:f>
      </x:c>
      <x:c r="N25" s="15"/>
      <x:c r="O25" s="22"/>
      <x:c r="P25" s="15"/>
      <x:c r="Q25" s="15"/>
      <x:c r="R25" s="15"/>
      <x:c r="S25" s="15"/>
      <x:c r="T25" s="15"/>
      <x:c r="U25" s="15"/>
      <x:c r="V25" s="15"/>
    </x:row>
    <x:row r="26">
      <x:c r="A26" s="15"/>
      <x:c r="B26" s="15"/>
      <x:c r="C26" s="15"/>
      <x:c r="D26" s="15"/>
      <x:c r="E26" s="15"/>
      <x:c r="F26" s="15"/>
      <x:c r="G26" s="20"/>
      <x:c r="H26" s="15"/>
      <x:c r="I26" s="19" t="str">
        <x:f>IFERROR(INDEX('Assumptions'!$D$5:$G$22,MATCH(C26,'Assumptions'!$A$5:$A$22,0),MATCH(H26,'Assumptions'!$D$4:$G$4,0)),"")</x:f>
      </x:c>
      <x:c r="J26" s="20" t="str">
        <x:f>IF(OR(G26="",I26=""),"",WORKDAY(G26,I26,'Assumptions'!$M$5:$M$24))</x:f>
      </x:c>
      <x:c r="K26" s="20"/>
      <x:c r="L26" s="20"/>
      <x:c r="M26" s="19" t="str">
        <x:f>IF(K26="","",IF(L26&lt;&gt;"",L26-K26,IF(TODAY()&gt;K26,TODAY()-K26,0)))</x:f>
      </x:c>
      <x:c r="N26" s="15"/>
      <x:c r="O26" s="22"/>
      <x:c r="P26" s="15"/>
      <x:c r="Q26" s="15"/>
      <x:c r="R26" s="15"/>
      <x:c r="S26" s="15"/>
      <x:c r="T26" s="15"/>
      <x:c r="U26" s="15"/>
      <x:c r="V26" s="15"/>
    </x:row>
    <x:row r="27">
      <x:c r="A27" s="15"/>
      <x:c r="B27" s="15"/>
      <x:c r="C27" s="15"/>
      <x:c r="D27" s="15"/>
      <x:c r="E27" s="15"/>
      <x:c r="F27" s="15"/>
      <x:c r="G27" s="20"/>
      <x:c r="H27" s="15"/>
      <x:c r="I27" s="19" t="str">
        <x:f>IFERROR(INDEX('Assumptions'!$D$5:$G$22,MATCH(C27,'Assumptions'!$A$5:$A$22,0),MATCH(H27,'Assumptions'!$D$4:$G$4,0)),"")</x:f>
      </x:c>
      <x:c r="J27" s="20" t="str">
        <x:f>IF(OR(G27="",I27=""),"",WORKDAY(G27,I27,'Assumptions'!$M$5:$M$24))</x:f>
      </x:c>
      <x:c r="K27" s="20"/>
      <x:c r="L27" s="20"/>
      <x:c r="M27" s="19" t="str">
        <x:f>IF(K27="","",IF(L27&lt;&gt;"",L27-K27,IF(TODAY()&gt;K27,TODAY()-K27,0)))</x:f>
      </x:c>
      <x:c r="N27" s="15"/>
      <x:c r="O27" s="22"/>
      <x:c r="P27" s="15"/>
      <x:c r="Q27" s="15"/>
      <x:c r="R27" s="15"/>
      <x:c r="S27" s="15"/>
      <x:c r="T27" s="15"/>
      <x:c r="U27" s="15"/>
      <x:c r="V27" s="15"/>
    </x:row>
    <x:row r="28">
      <x:c r="A28" s="15"/>
      <x:c r="B28" s="15"/>
      <x:c r="C28" s="15"/>
      <x:c r="D28" s="15"/>
      <x:c r="E28" s="15"/>
      <x:c r="F28" s="15"/>
      <x:c r="G28" s="20"/>
      <x:c r="H28" s="15"/>
      <x:c r="I28" s="19" t="str">
        <x:f>IFERROR(INDEX('Assumptions'!$D$5:$G$22,MATCH(C28,'Assumptions'!$A$5:$A$22,0),MATCH(H28,'Assumptions'!$D$4:$G$4,0)),"")</x:f>
      </x:c>
      <x:c r="J28" s="20" t="str">
        <x:f>IF(OR(G28="",I28=""),"",WORKDAY(G28,I28,'Assumptions'!$M$5:$M$24))</x:f>
      </x:c>
      <x:c r="K28" s="20"/>
      <x:c r="L28" s="20"/>
      <x:c r="M28" s="19" t="str">
        <x:f>IF(K28="","",IF(L28&lt;&gt;"",L28-K28,IF(TODAY()&gt;K28,TODAY()-K28,0)))</x:f>
      </x:c>
      <x:c r="N28" s="15"/>
      <x:c r="O28" s="22"/>
      <x:c r="P28" s="15"/>
      <x:c r="Q28" s="15"/>
      <x:c r="R28" s="15"/>
      <x:c r="S28" s="15"/>
      <x:c r="T28" s="15"/>
      <x:c r="U28" s="15"/>
      <x:c r="V28" s="15"/>
    </x:row>
    <x:row r="29">
      <x:c r="A29" s="15"/>
      <x:c r="B29" s="15"/>
      <x:c r="C29" s="15"/>
      <x:c r="D29" s="15"/>
      <x:c r="E29" s="15"/>
      <x:c r="F29" s="15"/>
      <x:c r="G29" s="20"/>
      <x:c r="H29" s="15"/>
      <x:c r="I29" s="19" t="str">
        <x:f>IFERROR(INDEX('Assumptions'!$D$5:$G$22,MATCH(C29,'Assumptions'!$A$5:$A$22,0),MATCH(H29,'Assumptions'!$D$4:$G$4,0)),"")</x:f>
      </x:c>
      <x:c r="J29" s="20" t="str">
        <x:f>IF(OR(G29="",I29=""),"",WORKDAY(G29,I29,'Assumptions'!$M$5:$M$24))</x:f>
      </x:c>
      <x:c r="K29" s="20"/>
      <x:c r="L29" s="20"/>
      <x:c r="M29" s="19" t="str">
        <x:f>IF(K29="","",IF(L29&lt;&gt;"",L29-K29,IF(TODAY()&gt;K29,TODAY()-K29,0)))</x:f>
      </x:c>
      <x:c r="N29" s="15"/>
      <x:c r="O29" s="22"/>
      <x:c r="P29" s="15"/>
      <x:c r="Q29" s="15"/>
      <x:c r="R29" s="15"/>
      <x:c r="S29" s="15"/>
      <x:c r="T29" s="15"/>
      <x:c r="U29" s="15"/>
      <x:c r="V29" s="15"/>
    </x:row>
    <x:row r="30">
      <x:c r="A30" s="15"/>
      <x:c r="B30" s="15"/>
      <x:c r="C30" s="15"/>
      <x:c r="D30" s="15"/>
      <x:c r="E30" s="15"/>
      <x:c r="F30" s="15"/>
      <x:c r="G30" s="20"/>
      <x:c r="H30" s="15"/>
      <x:c r="I30" s="19" t="str">
        <x:f>IFERROR(INDEX('Assumptions'!$D$5:$G$22,MATCH(C30,'Assumptions'!$A$5:$A$22,0),MATCH(H30,'Assumptions'!$D$4:$G$4,0)),"")</x:f>
      </x:c>
      <x:c r="J30" s="20" t="str">
        <x:f>IF(OR(G30="",I30=""),"",WORKDAY(G30,I30,'Assumptions'!$M$5:$M$24))</x:f>
      </x:c>
      <x:c r="K30" s="20"/>
      <x:c r="L30" s="20"/>
      <x:c r="M30" s="19" t="str">
        <x:f>IF(K30="","",IF(L30&lt;&gt;"",L30-K30,IF(TODAY()&gt;K30,TODAY()-K30,0)))</x:f>
      </x:c>
      <x:c r="N30" s="15"/>
      <x:c r="O30" s="22"/>
      <x:c r="P30" s="15"/>
      <x:c r="Q30" s="15"/>
      <x:c r="R30" s="15"/>
      <x:c r="S30" s="15"/>
      <x:c r="T30" s="15"/>
      <x:c r="U30" s="15"/>
      <x:c r="V30" s="15"/>
    </x:row>
    <x:row r="31">
      <x:c r="A31" s="15"/>
      <x:c r="B31" s="15"/>
      <x:c r="C31" s="15"/>
      <x:c r="D31" s="15"/>
      <x:c r="E31" s="15"/>
      <x:c r="F31" s="15"/>
      <x:c r="G31" s="20"/>
      <x:c r="H31" s="15"/>
      <x:c r="I31" s="19" t="str">
        <x:f>IFERROR(INDEX('Assumptions'!$D$5:$G$22,MATCH(C31,'Assumptions'!$A$5:$A$22,0),MATCH(H31,'Assumptions'!$D$4:$G$4,0)),"")</x:f>
      </x:c>
      <x:c r="J31" s="20" t="str">
        <x:f>IF(OR(G31="",I31=""),"",WORKDAY(G31,I31,'Assumptions'!$M$5:$M$24))</x:f>
      </x:c>
      <x:c r="K31" s="20"/>
      <x:c r="L31" s="20"/>
      <x:c r="M31" s="19" t="str">
        <x:f>IF(K31="","",IF(L31&lt;&gt;"",L31-K31,IF(TODAY()&gt;K31,TODAY()-K31,0)))</x:f>
      </x:c>
      <x:c r="N31" s="15"/>
      <x:c r="O31" s="22"/>
      <x:c r="P31" s="15"/>
      <x:c r="Q31" s="15"/>
      <x:c r="R31" s="15"/>
      <x:c r="S31" s="15"/>
      <x:c r="T31" s="15"/>
      <x:c r="U31" s="15"/>
      <x:c r="V31" s="15"/>
    </x:row>
    <x:row r="32">
      <x:c r="A32" s="15"/>
      <x:c r="B32" s="15"/>
      <x:c r="C32" s="15"/>
      <x:c r="D32" s="15"/>
      <x:c r="E32" s="15"/>
      <x:c r="F32" s="15"/>
      <x:c r="G32" s="20"/>
      <x:c r="H32" s="15"/>
      <x:c r="I32" s="19" t="str">
        <x:f>IFERROR(INDEX('Assumptions'!$D$5:$G$22,MATCH(C32,'Assumptions'!$A$5:$A$22,0),MATCH(H32,'Assumptions'!$D$4:$G$4,0)),"")</x:f>
      </x:c>
      <x:c r="J32" s="20" t="str">
        <x:f>IF(OR(G32="",I32=""),"",WORKDAY(G32,I32,'Assumptions'!$M$5:$M$24))</x:f>
      </x:c>
      <x:c r="K32" s="20"/>
      <x:c r="L32" s="20"/>
      <x:c r="M32" s="19" t="str">
        <x:f>IF(K32="","",IF(L32&lt;&gt;"",L32-K32,IF(TODAY()&gt;K32,TODAY()-K32,0)))</x:f>
      </x:c>
      <x:c r="N32" s="15"/>
      <x:c r="O32" s="22"/>
      <x:c r="P32" s="15"/>
      <x:c r="Q32" s="15"/>
      <x:c r="R32" s="15"/>
      <x:c r="S32" s="15"/>
      <x:c r="T32" s="15"/>
      <x:c r="U32" s="15"/>
      <x:c r="V32" s="15"/>
    </x:row>
    <x:row r="33">
      <x:c r="A33" s="15"/>
      <x:c r="B33" s="15"/>
      <x:c r="C33" s="15"/>
      <x:c r="D33" s="15"/>
      <x:c r="E33" s="15"/>
      <x:c r="F33" s="15"/>
      <x:c r="G33" s="20"/>
      <x:c r="H33" s="15"/>
      <x:c r="I33" s="19" t="str">
        <x:f>IFERROR(INDEX('Assumptions'!$D$5:$G$22,MATCH(C33,'Assumptions'!$A$5:$A$22,0),MATCH(H33,'Assumptions'!$D$4:$G$4,0)),"")</x:f>
      </x:c>
      <x:c r="J33" s="20" t="str">
        <x:f>IF(OR(G33="",I33=""),"",WORKDAY(G33,I33,'Assumptions'!$M$5:$M$24))</x:f>
      </x:c>
      <x:c r="K33" s="20"/>
      <x:c r="L33" s="20"/>
      <x:c r="M33" s="19" t="str">
        <x:f>IF(K33="","",IF(L33&lt;&gt;"",L33-K33,IF(TODAY()&gt;K33,TODAY()-K33,0)))</x:f>
      </x:c>
      <x:c r="N33" s="15"/>
      <x:c r="O33" s="22"/>
      <x:c r="P33" s="15"/>
      <x:c r="Q33" s="15"/>
      <x:c r="R33" s="15"/>
      <x:c r="S33" s="15"/>
      <x:c r="T33" s="15"/>
      <x:c r="U33" s="15"/>
      <x:c r="V33" s="15"/>
    </x:row>
    <x:row r="34">
      <x:c r="A34" s="15"/>
      <x:c r="B34" s="15"/>
      <x:c r="C34" s="15"/>
      <x:c r="D34" s="15"/>
      <x:c r="E34" s="15"/>
      <x:c r="F34" s="15"/>
      <x:c r="G34" s="20"/>
      <x:c r="H34" s="15"/>
      <x:c r="I34" s="19" t="str">
        <x:f>IFERROR(INDEX('Assumptions'!$D$5:$G$22,MATCH(C34,'Assumptions'!$A$5:$A$22,0),MATCH(H34,'Assumptions'!$D$4:$G$4,0)),"")</x:f>
      </x:c>
      <x:c r="J34" s="20" t="str">
        <x:f>IF(OR(G34="",I34=""),"",WORKDAY(G34,I34,'Assumptions'!$M$5:$M$24))</x:f>
      </x:c>
      <x:c r="K34" s="20"/>
      <x:c r="L34" s="20"/>
      <x:c r="M34" s="19" t="str">
        <x:f>IF(K34="","",IF(L34&lt;&gt;"",L34-K34,IF(TODAY()&gt;K34,TODAY()-K34,0)))</x:f>
      </x:c>
      <x:c r="N34" s="15"/>
      <x:c r="O34" s="22"/>
      <x:c r="P34" s="15"/>
      <x:c r="Q34" s="15"/>
      <x:c r="R34" s="15"/>
      <x:c r="S34" s="15"/>
      <x:c r="T34" s="15"/>
      <x:c r="U34" s="15"/>
      <x:c r="V34" s="15"/>
    </x:row>
    <x:row r="35">
      <x:c r="A35" s="15"/>
      <x:c r="B35" s="15"/>
      <x:c r="C35" s="15"/>
      <x:c r="D35" s="15"/>
      <x:c r="E35" s="15"/>
      <x:c r="F35" s="15"/>
      <x:c r="G35" s="20"/>
      <x:c r="H35" s="15"/>
      <x:c r="I35" s="19" t="str">
        <x:f>IFERROR(INDEX('Assumptions'!$D$5:$G$22,MATCH(C35,'Assumptions'!$A$5:$A$22,0),MATCH(H35,'Assumptions'!$D$4:$G$4,0)),"")</x:f>
      </x:c>
      <x:c r="J35" s="20" t="str">
        <x:f>IF(OR(G35="",I35=""),"",WORKDAY(G35,I35,'Assumptions'!$M$5:$M$24))</x:f>
      </x:c>
      <x:c r="K35" s="20"/>
      <x:c r="L35" s="20"/>
      <x:c r="M35" s="19" t="str">
        <x:f>IF(K35="","",IF(L35&lt;&gt;"",L35-K35,IF(TODAY()&gt;K35,TODAY()-K35,0)))</x:f>
      </x:c>
      <x:c r="N35" s="15"/>
      <x:c r="O35" s="22"/>
      <x:c r="P35" s="15"/>
      <x:c r="Q35" s="15"/>
      <x:c r="R35" s="15"/>
      <x:c r="S35" s="15"/>
      <x:c r="T35" s="15"/>
      <x:c r="U35" s="15"/>
      <x:c r="V35" s="15"/>
    </x:row>
    <x:row r="36">
      <x:c r="A36" s="15"/>
      <x:c r="B36" s="15"/>
      <x:c r="C36" s="15"/>
      <x:c r="D36" s="15"/>
      <x:c r="E36" s="15"/>
      <x:c r="F36" s="15"/>
      <x:c r="G36" s="20"/>
      <x:c r="H36" s="15"/>
      <x:c r="I36" s="19" t="str">
        <x:f>IFERROR(INDEX('Assumptions'!$D$5:$G$22,MATCH(C36,'Assumptions'!$A$5:$A$22,0),MATCH(H36,'Assumptions'!$D$4:$G$4,0)),"")</x:f>
      </x:c>
      <x:c r="J36" s="20" t="str">
        <x:f>IF(OR(G36="",I36=""),"",WORKDAY(G36,I36,'Assumptions'!$M$5:$M$24))</x:f>
      </x:c>
      <x:c r="K36" s="20"/>
      <x:c r="L36" s="20"/>
      <x:c r="M36" s="19" t="str">
        <x:f>IF(K36="","",IF(L36&lt;&gt;"",L36-K36,IF(TODAY()&gt;K36,TODAY()-K36,0)))</x:f>
      </x:c>
      <x:c r="N36" s="15"/>
      <x:c r="O36" s="22"/>
      <x:c r="P36" s="15"/>
      <x:c r="Q36" s="15"/>
      <x:c r="R36" s="15"/>
      <x:c r="S36" s="15"/>
      <x:c r="T36" s="15"/>
      <x:c r="U36" s="15"/>
      <x:c r="V36" s="15"/>
    </x:row>
    <x:row r="37">
      <x:c r="A37" s="15"/>
      <x:c r="B37" s="15"/>
      <x:c r="C37" s="15"/>
      <x:c r="D37" s="15"/>
      <x:c r="E37" s="15"/>
      <x:c r="F37" s="15"/>
      <x:c r="G37" s="20"/>
      <x:c r="H37" s="15"/>
      <x:c r="I37" s="19" t="str">
        <x:f>IFERROR(INDEX('Assumptions'!$D$5:$G$22,MATCH(C37,'Assumptions'!$A$5:$A$22,0),MATCH(H37,'Assumptions'!$D$4:$G$4,0)),"")</x:f>
      </x:c>
      <x:c r="J37" s="20" t="str">
        <x:f>IF(OR(G37="",I37=""),"",WORKDAY(G37,I37,'Assumptions'!$M$5:$M$24))</x:f>
      </x:c>
      <x:c r="K37" s="20"/>
      <x:c r="L37" s="20"/>
      <x:c r="M37" s="19" t="str">
        <x:f>IF(K37="","",IF(L37&lt;&gt;"",L37-K37,IF(TODAY()&gt;K37,TODAY()-K37,0)))</x:f>
      </x:c>
      <x:c r="N37" s="15"/>
      <x:c r="O37" s="22"/>
      <x:c r="P37" s="15"/>
      <x:c r="Q37" s="15"/>
      <x:c r="R37" s="15"/>
      <x:c r="S37" s="15"/>
      <x:c r="T37" s="15"/>
      <x:c r="U37" s="15"/>
      <x:c r="V37" s="15"/>
    </x:row>
    <x:row r="38">
      <x:c r="A38" s="15"/>
      <x:c r="B38" s="15"/>
      <x:c r="C38" s="15"/>
      <x:c r="D38" s="15"/>
      <x:c r="E38" s="15"/>
      <x:c r="F38" s="15"/>
      <x:c r="G38" s="20"/>
      <x:c r="H38" s="15"/>
      <x:c r="I38" s="19" t="str">
        <x:f>IFERROR(INDEX('Assumptions'!$D$5:$G$22,MATCH(C38,'Assumptions'!$A$5:$A$22,0),MATCH(H38,'Assumptions'!$D$4:$G$4,0)),"")</x:f>
      </x:c>
      <x:c r="J38" s="20" t="str">
        <x:f>IF(OR(G38="",I38=""),"",WORKDAY(G38,I38,'Assumptions'!$M$5:$M$24))</x:f>
      </x:c>
      <x:c r="K38" s="20"/>
      <x:c r="L38" s="20"/>
      <x:c r="M38" s="19" t="str">
        <x:f>IF(K38="","",IF(L38&lt;&gt;"",L38-K38,IF(TODAY()&gt;K38,TODAY()-K38,0)))</x:f>
      </x:c>
      <x:c r="N38" s="15"/>
      <x:c r="O38" s="22"/>
      <x:c r="P38" s="15"/>
      <x:c r="Q38" s="15"/>
      <x:c r="R38" s="15"/>
      <x:c r="S38" s="15"/>
      <x:c r="T38" s="15"/>
      <x:c r="U38" s="15"/>
      <x:c r="V38" s="15"/>
    </x:row>
    <x:row r="39">
      <x:c r="A39" s="15"/>
      <x:c r="B39" s="15"/>
      <x:c r="C39" s="15"/>
      <x:c r="D39" s="15"/>
      <x:c r="E39" s="15"/>
      <x:c r="F39" s="15"/>
      <x:c r="G39" s="20"/>
      <x:c r="H39" s="15"/>
      <x:c r="I39" s="19" t="str">
        <x:f>IFERROR(INDEX('Assumptions'!$D$5:$G$22,MATCH(C39,'Assumptions'!$A$5:$A$22,0),MATCH(H39,'Assumptions'!$D$4:$G$4,0)),"")</x:f>
      </x:c>
      <x:c r="J39" s="20" t="str">
        <x:f>IF(OR(G39="",I39=""),"",WORKDAY(G39,I39,'Assumptions'!$M$5:$M$24))</x:f>
      </x:c>
      <x:c r="K39" s="20"/>
      <x:c r="L39" s="20"/>
      <x:c r="M39" s="19" t="str">
        <x:f>IF(K39="","",IF(L39&lt;&gt;"",L39-K39,IF(TODAY()&gt;K39,TODAY()-K39,0)))</x:f>
      </x:c>
      <x:c r="N39" s="15"/>
      <x:c r="O39" s="22"/>
      <x:c r="P39" s="15"/>
      <x:c r="Q39" s="15"/>
      <x:c r="R39" s="15"/>
      <x:c r="S39" s="15"/>
      <x:c r="T39" s="15"/>
      <x:c r="U39" s="15"/>
      <x:c r="V39" s="15"/>
    </x:row>
    <x:row r="40">
      <x:c r="A40" s="15"/>
      <x:c r="B40" s="15"/>
      <x:c r="C40" s="15"/>
      <x:c r="D40" s="15"/>
      <x:c r="E40" s="15"/>
      <x:c r="F40" s="15"/>
      <x:c r="G40" s="20"/>
      <x:c r="H40" s="15"/>
      <x:c r="I40" s="19" t="str">
        <x:f>IFERROR(INDEX('Assumptions'!$D$5:$G$22,MATCH(C40,'Assumptions'!$A$5:$A$22,0),MATCH(H40,'Assumptions'!$D$4:$G$4,0)),"")</x:f>
      </x:c>
      <x:c r="J40" s="20" t="str">
        <x:f>IF(OR(G40="",I40=""),"",WORKDAY(G40,I40,'Assumptions'!$M$5:$M$24))</x:f>
      </x:c>
      <x:c r="K40" s="20"/>
      <x:c r="L40" s="20"/>
      <x:c r="M40" s="19" t="str">
        <x:f>IF(K40="","",IF(L40&lt;&gt;"",L40-K40,IF(TODAY()&gt;K40,TODAY()-K40,0)))</x:f>
      </x:c>
      <x:c r="N40" s="15"/>
      <x:c r="O40" s="22"/>
      <x:c r="P40" s="15"/>
      <x:c r="Q40" s="15"/>
      <x:c r="R40" s="15"/>
      <x:c r="S40" s="15"/>
      <x:c r="T40" s="15"/>
      <x:c r="U40" s="15"/>
      <x:c r="V40" s="15"/>
    </x:row>
    <x:row r="41">
      <x:c r="A41" s="15"/>
      <x:c r="B41" s="15"/>
      <x:c r="C41" s="15"/>
      <x:c r="D41" s="15"/>
      <x:c r="E41" s="15"/>
      <x:c r="F41" s="15"/>
      <x:c r="G41" s="20"/>
      <x:c r="H41" s="15"/>
      <x:c r="I41" s="19" t="str">
        <x:f>IFERROR(INDEX('Assumptions'!$D$5:$G$22,MATCH(C41,'Assumptions'!$A$5:$A$22,0),MATCH(H41,'Assumptions'!$D$4:$G$4,0)),"")</x:f>
      </x:c>
      <x:c r="J41" s="20" t="str">
        <x:f>IF(OR(G41="",I41=""),"",WORKDAY(G41,I41,'Assumptions'!$M$5:$M$24))</x:f>
      </x:c>
      <x:c r="K41" s="20"/>
      <x:c r="L41" s="20"/>
      <x:c r="M41" s="19" t="str">
        <x:f>IF(K41="","",IF(L41&lt;&gt;"",L41-K41,IF(TODAY()&gt;K41,TODAY()-K41,0)))</x:f>
      </x:c>
      <x:c r="N41" s="15"/>
      <x:c r="O41" s="22"/>
      <x:c r="P41" s="15"/>
      <x:c r="Q41" s="15"/>
      <x:c r="R41" s="15"/>
      <x:c r="S41" s="15"/>
      <x:c r="T41" s="15"/>
      <x:c r="U41" s="15"/>
      <x:c r="V41" s="15"/>
    </x:row>
    <x:row r="42">
      <x:c r="A42" s="15"/>
      <x:c r="B42" s="15"/>
      <x:c r="C42" s="15"/>
      <x:c r="D42" s="15"/>
      <x:c r="E42" s="15"/>
      <x:c r="F42" s="15"/>
      <x:c r="G42" s="20"/>
      <x:c r="H42" s="15"/>
      <x:c r="I42" s="19" t="str">
        <x:f>IFERROR(INDEX('Assumptions'!$D$5:$G$22,MATCH(C42,'Assumptions'!$A$5:$A$22,0),MATCH(H42,'Assumptions'!$D$4:$G$4,0)),"")</x:f>
      </x:c>
      <x:c r="J42" s="20" t="str">
        <x:f>IF(OR(G42="",I42=""),"",WORKDAY(G42,I42,'Assumptions'!$M$5:$M$24))</x:f>
      </x:c>
      <x:c r="K42" s="20"/>
      <x:c r="L42" s="20"/>
      <x:c r="M42" s="19" t="str">
        <x:f>IF(K42="","",IF(L42&lt;&gt;"",L42-K42,IF(TODAY()&gt;K42,TODAY()-K42,0)))</x:f>
      </x:c>
      <x:c r="N42" s="15"/>
      <x:c r="O42" s="22"/>
      <x:c r="P42" s="15"/>
      <x:c r="Q42" s="15"/>
      <x:c r="R42" s="15"/>
      <x:c r="S42" s="15"/>
      <x:c r="T42" s="15"/>
      <x:c r="U42" s="15"/>
      <x:c r="V42" s="15"/>
    </x:row>
    <x:row r="43">
      <x:c r="A43" s="15"/>
      <x:c r="B43" s="15"/>
      <x:c r="C43" s="15"/>
      <x:c r="D43" s="15"/>
      <x:c r="E43" s="15"/>
      <x:c r="F43" s="15"/>
      <x:c r="G43" s="20"/>
      <x:c r="H43" s="15"/>
      <x:c r="I43" s="19" t="str">
        <x:f>IFERROR(INDEX('Assumptions'!$D$5:$G$22,MATCH(C43,'Assumptions'!$A$5:$A$22,0),MATCH(H43,'Assumptions'!$D$4:$G$4,0)),"")</x:f>
      </x:c>
      <x:c r="J43" s="20" t="str">
        <x:f>IF(OR(G43="",I43=""),"",WORKDAY(G43,I43,'Assumptions'!$M$5:$M$24))</x:f>
      </x:c>
      <x:c r="K43" s="20"/>
      <x:c r="L43" s="20"/>
      <x:c r="M43" s="19" t="str">
        <x:f>IF(K43="","",IF(L43&lt;&gt;"",L43-K43,IF(TODAY()&gt;K43,TODAY()-K43,0)))</x:f>
      </x:c>
      <x:c r="N43" s="15"/>
      <x:c r="O43" s="22"/>
      <x:c r="P43" s="15"/>
      <x:c r="Q43" s="15"/>
      <x:c r="R43" s="15"/>
      <x:c r="S43" s="15"/>
      <x:c r="T43" s="15"/>
      <x:c r="U43" s="15"/>
      <x:c r="V43" s="15"/>
    </x:row>
    <x:row r="44">
      <x:c r="A44" s="15"/>
      <x:c r="B44" s="15"/>
      <x:c r="C44" s="15"/>
      <x:c r="D44" s="15"/>
      <x:c r="E44" s="15"/>
      <x:c r="F44" s="15"/>
      <x:c r="G44" s="20"/>
      <x:c r="H44" s="15"/>
      <x:c r="I44" s="19" t="str">
        <x:f>IFERROR(INDEX('Assumptions'!$D$5:$G$22,MATCH(C44,'Assumptions'!$A$5:$A$22,0),MATCH(H44,'Assumptions'!$D$4:$G$4,0)),"")</x:f>
      </x:c>
      <x:c r="J44" s="20" t="str">
        <x:f>IF(OR(G44="",I44=""),"",WORKDAY(G44,I44,'Assumptions'!$M$5:$M$24))</x:f>
      </x:c>
      <x:c r="K44" s="20"/>
      <x:c r="L44" s="20"/>
      <x:c r="M44" s="19" t="str">
        <x:f>IF(K44="","",IF(L44&lt;&gt;"",L44-K44,IF(TODAY()&gt;K44,TODAY()-K44,0)))</x:f>
      </x:c>
      <x:c r="N44" s="15"/>
      <x:c r="O44" s="22"/>
      <x:c r="P44" s="15"/>
      <x:c r="Q44" s="15"/>
      <x:c r="R44" s="15"/>
      <x:c r="S44" s="15"/>
      <x:c r="T44" s="15"/>
      <x:c r="U44" s="15"/>
      <x:c r="V44" s="15"/>
    </x:row>
    <x:row r="45">
      <x:c r="A45" s="15"/>
      <x:c r="B45" s="15"/>
      <x:c r="C45" s="15"/>
      <x:c r="D45" s="15"/>
      <x:c r="E45" s="15"/>
      <x:c r="F45" s="15"/>
      <x:c r="G45" s="20"/>
      <x:c r="H45" s="15"/>
      <x:c r="I45" s="19" t="str">
        <x:f>IFERROR(INDEX('Assumptions'!$D$5:$G$22,MATCH(C45,'Assumptions'!$A$5:$A$22,0),MATCH(H45,'Assumptions'!$D$4:$G$4,0)),"")</x:f>
      </x:c>
      <x:c r="J45" s="20" t="str">
        <x:f>IF(OR(G45="",I45=""),"",WORKDAY(G45,I45,'Assumptions'!$M$5:$M$24))</x:f>
      </x:c>
      <x:c r="K45" s="20"/>
      <x:c r="L45" s="20"/>
      <x:c r="M45" s="19" t="str">
        <x:f>IF(K45="","",IF(L45&lt;&gt;"",L45-K45,IF(TODAY()&gt;K45,TODAY()-K45,0)))</x:f>
      </x:c>
      <x:c r="N45" s="15"/>
      <x:c r="O45" s="22"/>
      <x:c r="P45" s="15"/>
      <x:c r="Q45" s="15"/>
      <x:c r="R45" s="15"/>
      <x:c r="S45" s="15"/>
      <x:c r="T45" s="15"/>
      <x:c r="U45" s="15"/>
      <x:c r="V45" s="15"/>
    </x:row>
    <x:row r="46">
      <x:c r="A46" s="15"/>
      <x:c r="B46" s="15"/>
      <x:c r="C46" s="15"/>
      <x:c r="D46" s="15"/>
      <x:c r="E46" s="15"/>
      <x:c r="F46" s="15"/>
      <x:c r="G46" s="20"/>
      <x:c r="H46" s="15"/>
      <x:c r="I46" s="19" t="str">
        <x:f>IFERROR(INDEX('Assumptions'!$D$5:$G$22,MATCH(C46,'Assumptions'!$A$5:$A$22,0),MATCH(H46,'Assumptions'!$D$4:$G$4,0)),"")</x:f>
      </x:c>
      <x:c r="J46" s="20" t="str">
        <x:f>IF(OR(G46="",I46=""),"",WORKDAY(G46,I46,'Assumptions'!$M$5:$M$24))</x:f>
      </x:c>
      <x:c r="K46" s="20"/>
      <x:c r="L46" s="20"/>
      <x:c r="M46" s="19" t="str">
        <x:f>IF(K46="","",IF(L46&lt;&gt;"",L46-K46,IF(TODAY()&gt;K46,TODAY()-K46,0)))</x:f>
      </x:c>
      <x:c r="N46" s="15"/>
      <x:c r="O46" s="22"/>
      <x:c r="P46" s="15"/>
      <x:c r="Q46" s="15"/>
      <x:c r="R46" s="15"/>
      <x:c r="S46" s="15"/>
      <x:c r="T46" s="15"/>
      <x:c r="U46" s="15"/>
      <x:c r="V46" s="15"/>
    </x:row>
    <x:row r="47">
      <x:c r="A47" s="15"/>
      <x:c r="B47" s="15"/>
      <x:c r="C47" s="15"/>
      <x:c r="D47" s="15"/>
      <x:c r="E47" s="15"/>
      <x:c r="F47" s="15"/>
      <x:c r="G47" s="20"/>
      <x:c r="H47" s="15"/>
      <x:c r="I47" s="19" t="str">
        <x:f>IFERROR(INDEX('Assumptions'!$D$5:$G$22,MATCH(C47,'Assumptions'!$A$5:$A$22,0),MATCH(H47,'Assumptions'!$D$4:$G$4,0)),"")</x:f>
      </x:c>
      <x:c r="J47" s="20" t="str">
        <x:f>IF(OR(G47="",I47=""),"",WORKDAY(G47,I47,'Assumptions'!$M$5:$M$24))</x:f>
      </x:c>
      <x:c r="K47" s="20"/>
      <x:c r="L47" s="20"/>
      <x:c r="M47" s="19" t="str">
        <x:f>IF(K47="","",IF(L47&lt;&gt;"",L47-K47,IF(TODAY()&gt;K47,TODAY()-K47,0)))</x:f>
      </x:c>
      <x:c r="N47" s="15"/>
      <x:c r="O47" s="22"/>
      <x:c r="P47" s="15"/>
      <x:c r="Q47" s="15"/>
      <x:c r="R47" s="15"/>
      <x:c r="S47" s="15"/>
      <x:c r="T47" s="15"/>
      <x:c r="U47" s="15"/>
      <x:c r="V47" s="15"/>
    </x:row>
    <x:row r="48">
      <x:c r="A48" s="15"/>
      <x:c r="B48" s="15"/>
      <x:c r="C48" s="15"/>
      <x:c r="D48" s="15"/>
      <x:c r="E48" s="15"/>
      <x:c r="F48" s="15"/>
      <x:c r="G48" s="20"/>
      <x:c r="H48" s="15"/>
      <x:c r="I48" s="19" t="str">
        <x:f>IFERROR(INDEX('Assumptions'!$D$5:$G$22,MATCH(C48,'Assumptions'!$A$5:$A$22,0),MATCH(H48,'Assumptions'!$D$4:$G$4,0)),"")</x:f>
      </x:c>
      <x:c r="J48" s="20" t="str">
        <x:f>IF(OR(G48="",I48=""),"",WORKDAY(G48,I48,'Assumptions'!$M$5:$M$24))</x:f>
      </x:c>
      <x:c r="K48" s="20"/>
      <x:c r="L48" s="20"/>
      <x:c r="M48" s="19" t="str">
        <x:f>IF(K48="","",IF(L48&lt;&gt;"",L48-K48,IF(TODAY()&gt;K48,TODAY()-K48,0)))</x:f>
      </x:c>
      <x:c r="N48" s="15"/>
      <x:c r="O48" s="22"/>
      <x:c r="P48" s="15"/>
      <x:c r="Q48" s="15"/>
      <x:c r="R48" s="15"/>
      <x:c r="S48" s="15"/>
      <x:c r="T48" s="15"/>
      <x:c r="U48" s="15"/>
      <x:c r="V48" s="15"/>
    </x:row>
    <x:row r="49">
      <x:c r="A49" s="15"/>
      <x:c r="B49" s="15"/>
      <x:c r="C49" s="15"/>
      <x:c r="D49" s="15"/>
      <x:c r="E49" s="15"/>
      <x:c r="F49" s="15"/>
      <x:c r="G49" s="20"/>
      <x:c r="H49" s="15"/>
      <x:c r="I49" s="19" t="str">
        <x:f>IFERROR(INDEX('Assumptions'!$D$5:$G$22,MATCH(C49,'Assumptions'!$A$5:$A$22,0),MATCH(H49,'Assumptions'!$D$4:$G$4,0)),"")</x:f>
      </x:c>
      <x:c r="J49" s="20" t="str">
        <x:f>IF(OR(G49="",I49=""),"",WORKDAY(G49,I49,'Assumptions'!$M$5:$M$24))</x:f>
      </x:c>
      <x:c r="K49" s="20"/>
      <x:c r="L49" s="20"/>
      <x:c r="M49" s="19" t="str">
        <x:f>IF(K49="","",IF(L49&lt;&gt;"",L49-K49,IF(TODAY()&gt;K49,TODAY()-K49,0)))</x:f>
      </x:c>
      <x:c r="N49" s="15"/>
      <x:c r="O49" s="22"/>
      <x:c r="P49" s="15"/>
      <x:c r="Q49" s="15"/>
      <x:c r="R49" s="15"/>
      <x:c r="S49" s="15"/>
      <x:c r="T49" s="15"/>
      <x:c r="U49" s="15"/>
      <x:c r="V49" s="15"/>
    </x:row>
    <x:row r="50">
      <x:c r="A50" s="15"/>
      <x:c r="B50" s="15"/>
      <x:c r="C50" s="15"/>
      <x:c r="D50" s="15"/>
      <x:c r="E50" s="15"/>
      <x:c r="F50" s="15"/>
      <x:c r="G50" s="20"/>
      <x:c r="H50" s="15"/>
      <x:c r="I50" s="19" t="str">
        <x:f>IFERROR(INDEX('Assumptions'!$D$5:$G$22,MATCH(C50,'Assumptions'!$A$5:$A$22,0),MATCH(H50,'Assumptions'!$D$4:$G$4,0)),"")</x:f>
      </x:c>
      <x:c r="J50" s="20" t="str">
        <x:f>IF(OR(G50="",I50=""),"",WORKDAY(G50,I50,'Assumptions'!$M$5:$M$24))</x:f>
      </x:c>
      <x:c r="K50" s="20"/>
      <x:c r="L50" s="20"/>
      <x:c r="M50" s="19" t="str">
        <x:f>IF(K50="","",IF(L50&lt;&gt;"",L50-K50,IF(TODAY()&gt;K50,TODAY()-K50,0)))</x:f>
      </x:c>
      <x:c r="N50" s="15"/>
      <x:c r="O50" s="22"/>
      <x:c r="P50" s="15"/>
      <x:c r="Q50" s="15"/>
      <x:c r="R50" s="15"/>
      <x:c r="S50" s="15"/>
      <x:c r="T50" s="15"/>
      <x:c r="U50" s="15"/>
      <x:c r="V50" s="15"/>
    </x:row>
    <x:row r="51">
      <x:c r="A51" s="15"/>
      <x:c r="B51" s="15"/>
      <x:c r="C51" s="15"/>
      <x:c r="D51" s="15"/>
      <x:c r="E51" s="15"/>
      <x:c r="F51" s="15"/>
      <x:c r="G51" s="20"/>
      <x:c r="H51" s="15"/>
      <x:c r="I51" s="19" t="str">
        <x:f>IFERROR(INDEX('Assumptions'!$D$5:$G$22,MATCH(C51,'Assumptions'!$A$5:$A$22,0),MATCH(H51,'Assumptions'!$D$4:$G$4,0)),"")</x:f>
      </x:c>
      <x:c r="J51" s="20" t="str">
        <x:f>IF(OR(G51="",I51=""),"",WORKDAY(G51,I51,'Assumptions'!$M$5:$M$24))</x:f>
      </x:c>
      <x:c r="K51" s="20"/>
      <x:c r="L51" s="20"/>
      <x:c r="M51" s="19" t="str">
        <x:f>IF(K51="","",IF(L51&lt;&gt;"",L51-K51,IF(TODAY()&gt;K51,TODAY()-K51,0)))</x:f>
      </x:c>
      <x:c r="N51" s="15"/>
      <x:c r="O51" s="22"/>
      <x:c r="P51" s="15"/>
      <x:c r="Q51" s="15"/>
      <x:c r="R51" s="15"/>
      <x:c r="S51" s="15"/>
      <x:c r="T51" s="15"/>
      <x:c r="U51" s="15"/>
      <x:c r="V51" s="15"/>
    </x:row>
    <x:row r="52">
      <x:c r="A52" s="15"/>
      <x:c r="B52" s="15"/>
      <x:c r="C52" s="15"/>
      <x:c r="D52" s="15"/>
      <x:c r="E52" s="15"/>
      <x:c r="F52" s="15"/>
      <x:c r="G52" s="20"/>
      <x:c r="H52" s="15"/>
      <x:c r="I52" s="19" t="str">
        <x:f>IFERROR(INDEX('Assumptions'!$D$5:$G$22,MATCH(C52,'Assumptions'!$A$5:$A$22,0),MATCH(H52,'Assumptions'!$D$4:$G$4,0)),"")</x:f>
      </x:c>
      <x:c r="J52" s="20" t="str">
        <x:f>IF(OR(G52="",I52=""),"",WORKDAY(G52,I52,'Assumptions'!$M$5:$M$24))</x:f>
      </x:c>
      <x:c r="K52" s="20"/>
      <x:c r="L52" s="20"/>
      <x:c r="M52" s="19" t="str">
        <x:f>IF(K52="","",IF(L52&lt;&gt;"",L52-K52,IF(TODAY()&gt;K52,TODAY()-K52,0)))</x:f>
      </x:c>
      <x:c r="N52" s="15"/>
      <x:c r="O52" s="22"/>
      <x:c r="P52" s="15"/>
      <x:c r="Q52" s="15"/>
      <x:c r="R52" s="15"/>
      <x:c r="S52" s="15"/>
      <x:c r="T52" s="15"/>
      <x:c r="U52" s="15"/>
      <x:c r="V52" s="15"/>
    </x:row>
    <x:row r="53">
      <x:c r="A53" s="15"/>
      <x:c r="B53" s="15"/>
      <x:c r="C53" s="15"/>
      <x:c r="D53" s="15"/>
      <x:c r="E53" s="15"/>
      <x:c r="F53" s="15"/>
      <x:c r="G53" s="20"/>
      <x:c r="H53" s="15"/>
      <x:c r="I53" s="19" t="str">
        <x:f>IFERROR(INDEX('Assumptions'!$D$5:$G$22,MATCH(C53,'Assumptions'!$A$5:$A$22,0),MATCH(H53,'Assumptions'!$D$4:$G$4,0)),"")</x:f>
      </x:c>
      <x:c r="J53" s="20" t="str">
        <x:f>IF(OR(G53="",I53=""),"",WORKDAY(G53,I53,'Assumptions'!$M$5:$M$24))</x:f>
      </x:c>
      <x:c r="K53" s="20"/>
      <x:c r="L53" s="20"/>
      <x:c r="M53" s="19" t="str">
        <x:f>IF(K53="","",IF(L53&lt;&gt;"",L53-K53,IF(TODAY()&gt;K53,TODAY()-K53,0)))</x:f>
      </x:c>
      <x:c r="N53" s="15"/>
      <x:c r="O53" s="22"/>
      <x:c r="P53" s="15"/>
      <x:c r="Q53" s="15"/>
      <x:c r="R53" s="15"/>
      <x:c r="S53" s="15"/>
      <x:c r="T53" s="15"/>
      <x:c r="U53" s="15"/>
      <x:c r="V53" s="15"/>
    </x:row>
    <x:row r="54">
      <x:c r="A54" s="15"/>
      <x:c r="B54" s="15"/>
      <x:c r="C54" s="15"/>
      <x:c r="D54" s="15"/>
      <x:c r="E54" s="15"/>
      <x:c r="F54" s="15"/>
      <x:c r="G54" s="20"/>
      <x:c r="H54" s="15"/>
      <x:c r="I54" s="19" t="str">
        <x:f>IFERROR(INDEX('Assumptions'!$D$5:$G$22,MATCH(C54,'Assumptions'!$A$5:$A$22,0),MATCH(H54,'Assumptions'!$D$4:$G$4,0)),"")</x:f>
      </x:c>
      <x:c r="J54" s="20" t="str">
        <x:f>IF(OR(G54="",I54=""),"",WORKDAY(G54,I54,'Assumptions'!$M$5:$M$24))</x:f>
      </x:c>
      <x:c r="K54" s="20"/>
      <x:c r="L54" s="20"/>
      <x:c r="M54" s="19" t="str">
        <x:f>IF(K54="","",IF(L54&lt;&gt;"",L54-K54,IF(TODAY()&gt;K54,TODAY()-K54,0)))</x:f>
      </x:c>
      <x:c r="N54" s="15"/>
      <x:c r="O54" s="22"/>
      <x:c r="P54" s="15"/>
      <x:c r="Q54" s="15"/>
      <x:c r="R54" s="15"/>
      <x:c r="S54" s="15"/>
      <x:c r="T54" s="15"/>
      <x:c r="U54" s="15"/>
      <x:c r="V54" s="15"/>
    </x:row>
    <x:row r="55">
      <x:c r="A55" s="15"/>
      <x:c r="B55" s="15"/>
      <x:c r="C55" s="15"/>
      <x:c r="D55" s="15"/>
      <x:c r="E55" s="15"/>
      <x:c r="F55" s="15"/>
      <x:c r="G55" s="20"/>
      <x:c r="H55" s="15"/>
      <x:c r="I55" s="19" t="str">
        <x:f>IFERROR(INDEX('Assumptions'!$D$5:$G$22,MATCH(C55,'Assumptions'!$A$5:$A$22,0),MATCH(H55,'Assumptions'!$D$4:$G$4,0)),"")</x:f>
      </x:c>
      <x:c r="J55" s="20" t="str">
        <x:f>IF(OR(G55="",I55=""),"",WORKDAY(G55,I55,'Assumptions'!$M$5:$M$24))</x:f>
      </x:c>
      <x:c r="K55" s="20"/>
      <x:c r="L55" s="20"/>
      <x:c r="M55" s="19" t="str">
        <x:f>IF(K55="","",IF(L55&lt;&gt;"",L55-K55,IF(TODAY()&gt;K55,TODAY()-K55,0)))</x:f>
      </x:c>
      <x:c r="N55" s="15"/>
      <x:c r="O55" s="22"/>
      <x:c r="P55" s="15"/>
      <x:c r="Q55" s="15"/>
      <x:c r="R55" s="15"/>
      <x:c r="S55" s="15"/>
      <x:c r="T55" s="15"/>
      <x:c r="U55" s="15"/>
      <x:c r="V55" s="15"/>
    </x:row>
    <x:row r="56">
      <x:c r="A56" s="15"/>
      <x:c r="B56" s="15"/>
      <x:c r="C56" s="15"/>
      <x:c r="D56" s="15"/>
      <x:c r="E56" s="15"/>
      <x:c r="F56" s="15"/>
      <x:c r="G56" s="20"/>
      <x:c r="H56" s="15"/>
      <x:c r="I56" s="19" t="str">
        <x:f>IFERROR(INDEX('Assumptions'!$D$5:$G$22,MATCH(C56,'Assumptions'!$A$5:$A$22,0),MATCH(H56,'Assumptions'!$D$4:$G$4,0)),"")</x:f>
      </x:c>
      <x:c r="J56" s="20" t="str">
        <x:f>IF(OR(G56="",I56=""),"",WORKDAY(G56,I56,'Assumptions'!$M$5:$M$24))</x:f>
      </x:c>
      <x:c r="K56" s="20"/>
      <x:c r="L56" s="20"/>
      <x:c r="M56" s="19" t="str">
        <x:f>IF(K56="","",IF(L56&lt;&gt;"",L56-K56,IF(TODAY()&gt;K56,TODAY()-K56,0)))</x:f>
      </x:c>
      <x:c r="N56" s="15"/>
      <x:c r="O56" s="22"/>
      <x:c r="P56" s="15"/>
      <x:c r="Q56" s="15"/>
      <x:c r="R56" s="15"/>
      <x:c r="S56" s="15"/>
      <x:c r="T56" s="15"/>
      <x:c r="U56" s="15"/>
      <x:c r="V56" s="15"/>
    </x:row>
    <x:row r="57">
      <x:c r="A57" s="15"/>
      <x:c r="B57" s="15"/>
      <x:c r="C57" s="15"/>
      <x:c r="D57" s="15"/>
      <x:c r="E57" s="15"/>
      <x:c r="F57" s="15"/>
      <x:c r="G57" s="20"/>
      <x:c r="H57" s="15"/>
      <x:c r="I57" s="19" t="str">
        <x:f>IFERROR(INDEX('Assumptions'!$D$5:$G$22,MATCH(C57,'Assumptions'!$A$5:$A$22,0),MATCH(H57,'Assumptions'!$D$4:$G$4,0)),"")</x:f>
      </x:c>
      <x:c r="J57" s="20" t="str">
        <x:f>IF(OR(G57="",I57=""),"",WORKDAY(G57,I57,'Assumptions'!$M$5:$M$24))</x:f>
      </x:c>
      <x:c r="K57" s="20"/>
      <x:c r="L57" s="20"/>
      <x:c r="M57" s="19" t="str">
        <x:f>IF(K57="","",IF(L57&lt;&gt;"",L57-K57,IF(TODAY()&gt;K57,TODAY()-K57,0)))</x:f>
      </x:c>
      <x:c r="N57" s="15"/>
      <x:c r="O57" s="22"/>
      <x:c r="P57" s="15"/>
      <x:c r="Q57" s="15"/>
      <x:c r="R57" s="15"/>
      <x:c r="S57" s="15"/>
      <x:c r="T57" s="15"/>
      <x:c r="U57" s="15"/>
      <x:c r="V57" s="15"/>
    </x:row>
    <x:row r="58">
      <x:c r="A58" s="15"/>
      <x:c r="B58" s="15"/>
      <x:c r="C58" s="15"/>
      <x:c r="D58" s="15"/>
      <x:c r="E58" s="15"/>
      <x:c r="F58" s="15"/>
      <x:c r="G58" s="20"/>
      <x:c r="H58" s="15"/>
      <x:c r="I58" s="19" t="str">
        <x:f>IFERROR(INDEX('Assumptions'!$D$5:$G$22,MATCH(C58,'Assumptions'!$A$5:$A$22,0),MATCH(H58,'Assumptions'!$D$4:$G$4,0)),"")</x:f>
      </x:c>
      <x:c r="J58" s="20" t="str">
        <x:f>IF(OR(G58="",I58=""),"",WORKDAY(G58,I58,'Assumptions'!$M$5:$M$24))</x:f>
      </x:c>
      <x:c r="K58" s="20"/>
      <x:c r="L58" s="20"/>
      <x:c r="M58" s="19" t="str">
        <x:f>IF(K58="","",IF(L58&lt;&gt;"",L58-K58,IF(TODAY()&gt;K58,TODAY()-K58,0)))</x:f>
      </x:c>
      <x:c r="N58" s="15"/>
      <x:c r="O58" s="22"/>
      <x:c r="P58" s="15"/>
      <x:c r="Q58" s="15"/>
      <x:c r="R58" s="15"/>
      <x:c r="S58" s="15"/>
      <x:c r="T58" s="15"/>
      <x:c r="U58" s="15"/>
      <x:c r="V58" s="15"/>
    </x:row>
    <x:row r="59">
      <x:c r="A59" s="15"/>
      <x:c r="B59" s="15"/>
      <x:c r="C59" s="15"/>
      <x:c r="D59" s="15"/>
      <x:c r="E59" s="15"/>
      <x:c r="F59" s="15"/>
      <x:c r="G59" s="20"/>
      <x:c r="H59" s="15"/>
      <x:c r="I59" s="19" t="str">
        <x:f>IFERROR(INDEX('Assumptions'!$D$5:$G$22,MATCH(C59,'Assumptions'!$A$5:$A$22,0),MATCH(H59,'Assumptions'!$D$4:$G$4,0)),"")</x:f>
      </x:c>
      <x:c r="J59" s="20" t="str">
        <x:f>IF(OR(G59="",I59=""),"",WORKDAY(G59,I59,'Assumptions'!$M$5:$M$24))</x:f>
      </x:c>
      <x:c r="K59" s="20"/>
      <x:c r="L59" s="20"/>
      <x:c r="M59" s="19" t="str">
        <x:f>IF(K59="","",IF(L59&lt;&gt;"",L59-K59,IF(TODAY()&gt;K59,TODAY()-K59,0)))</x:f>
      </x:c>
      <x:c r="N59" s="15"/>
      <x:c r="O59" s="22"/>
      <x:c r="P59" s="15"/>
      <x:c r="Q59" s="15"/>
      <x:c r="R59" s="15"/>
      <x:c r="S59" s="15"/>
      <x:c r="T59" s="15"/>
      <x:c r="U59" s="15"/>
      <x:c r="V59" s="15"/>
    </x:row>
    <x:row r="60">
      <x:c r="A60" s="15"/>
      <x:c r="B60" s="15"/>
      <x:c r="C60" s="15"/>
      <x:c r="D60" s="15"/>
      <x:c r="E60" s="15"/>
      <x:c r="F60" s="15"/>
      <x:c r="G60" s="20"/>
      <x:c r="H60" s="15"/>
      <x:c r="I60" s="19" t="str">
        <x:f>IFERROR(INDEX('Assumptions'!$D$5:$G$22,MATCH(C60,'Assumptions'!$A$5:$A$22,0),MATCH(H60,'Assumptions'!$D$4:$G$4,0)),"")</x:f>
      </x:c>
      <x:c r="J60" s="20" t="str">
        <x:f>IF(OR(G60="",I60=""),"",WORKDAY(G60,I60,'Assumptions'!$M$5:$M$24))</x:f>
      </x:c>
      <x:c r="K60" s="20"/>
      <x:c r="L60" s="20"/>
      <x:c r="M60" s="19" t="str">
        <x:f>IF(K60="","",IF(L60&lt;&gt;"",L60-K60,IF(TODAY()&gt;K60,TODAY()-K60,0)))</x:f>
      </x:c>
      <x:c r="N60" s="15"/>
      <x:c r="O60" s="22"/>
      <x:c r="P60" s="15"/>
      <x:c r="Q60" s="15"/>
      <x:c r="R60" s="15"/>
      <x:c r="S60" s="15"/>
      <x:c r="T60" s="15"/>
      <x:c r="U60" s="15"/>
      <x:c r="V60" s="15"/>
    </x:row>
    <x:row r="61">
      <x:c r="A61" s="15"/>
      <x:c r="B61" s="15"/>
      <x:c r="C61" s="15"/>
      <x:c r="D61" s="15"/>
      <x:c r="E61" s="15"/>
      <x:c r="F61" s="15"/>
      <x:c r="G61" s="20"/>
      <x:c r="H61" s="15"/>
      <x:c r="I61" s="19" t="str">
        <x:f>IFERROR(INDEX('Assumptions'!$D$5:$G$22,MATCH(C61,'Assumptions'!$A$5:$A$22,0),MATCH(H61,'Assumptions'!$D$4:$G$4,0)),"")</x:f>
      </x:c>
      <x:c r="J61" s="20" t="str">
        <x:f>IF(OR(G61="",I61=""),"",WORKDAY(G61,I61,'Assumptions'!$M$5:$M$24))</x:f>
      </x:c>
      <x:c r="K61" s="20"/>
      <x:c r="L61" s="20"/>
      <x:c r="M61" s="19" t="str">
        <x:f>IF(K61="","",IF(L61&lt;&gt;"",L61-K61,IF(TODAY()&gt;K61,TODAY()-K61,0)))</x:f>
      </x:c>
      <x:c r="N61" s="15"/>
      <x:c r="O61" s="22"/>
      <x:c r="P61" s="15"/>
      <x:c r="Q61" s="15"/>
      <x:c r="R61" s="15"/>
      <x:c r="S61" s="15"/>
      <x:c r="T61" s="15"/>
      <x:c r="U61" s="15"/>
      <x:c r="V61" s="15"/>
    </x:row>
    <x:row r="62">
      <x:c r="A62" s="15"/>
      <x:c r="B62" s="15"/>
      <x:c r="C62" s="15"/>
      <x:c r="D62" s="15"/>
      <x:c r="E62" s="15"/>
      <x:c r="F62" s="15"/>
      <x:c r="G62" s="20"/>
      <x:c r="H62" s="15"/>
      <x:c r="I62" s="19" t="str">
        <x:f>IFERROR(INDEX('Assumptions'!$D$5:$G$22,MATCH(C62,'Assumptions'!$A$5:$A$22,0),MATCH(H62,'Assumptions'!$D$4:$G$4,0)),"")</x:f>
      </x:c>
      <x:c r="J62" s="20" t="str">
        <x:f>IF(OR(G62="",I62=""),"",WORKDAY(G62,I62,'Assumptions'!$M$5:$M$24))</x:f>
      </x:c>
      <x:c r="K62" s="20"/>
      <x:c r="L62" s="20"/>
      <x:c r="M62" s="19" t="str">
        <x:f>IF(K62="","",IF(L62&lt;&gt;"",L62-K62,IF(TODAY()&gt;K62,TODAY()-K62,0)))</x:f>
      </x:c>
      <x:c r="N62" s="15"/>
      <x:c r="O62" s="22"/>
      <x:c r="P62" s="15"/>
      <x:c r="Q62" s="15"/>
      <x:c r="R62" s="15"/>
      <x:c r="S62" s="15"/>
      <x:c r="T62" s="15"/>
      <x:c r="U62" s="15"/>
      <x:c r="V62" s="15"/>
    </x:row>
    <x:row r="63">
      <x:c r="A63" s="15"/>
      <x:c r="B63" s="15"/>
      <x:c r="C63" s="15"/>
      <x:c r="D63" s="15"/>
      <x:c r="E63" s="15"/>
      <x:c r="F63" s="15"/>
      <x:c r="G63" s="20"/>
      <x:c r="H63" s="15"/>
      <x:c r="I63" s="19" t="str">
        <x:f>IFERROR(INDEX('Assumptions'!$D$5:$G$22,MATCH(C63,'Assumptions'!$A$5:$A$22,0),MATCH(H63,'Assumptions'!$D$4:$G$4,0)),"")</x:f>
      </x:c>
      <x:c r="J63" s="20" t="str">
        <x:f>IF(OR(G63="",I63=""),"",WORKDAY(G63,I63,'Assumptions'!$M$5:$M$24))</x:f>
      </x:c>
      <x:c r="K63" s="20"/>
      <x:c r="L63" s="20"/>
      <x:c r="M63" s="19" t="str">
        <x:f>IF(K63="","",IF(L63&lt;&gt;"",L63-K63,IF(TODAY()&gt;K63,TODAY()-K63,0)))</x:f>
      </x:c>
      <x:c r="N63" s="15"/>
      <x:c r="O63" s="22"/>
      <x:c r="P63" s="15"/>
      <x:c r="Q63" s="15"/>
      <x:c r="R63" s="15"/>
      <x:c r="S63" s="15"/>
      <x:c r="T63" s="15"/>
      <x:c r="U63" s="15"/>
      <x:c r="V63" s="15"/>
    </x:row>
    <x:row r="64">
      <x:c r="A64" s="15"/>
      <x:c r="B64" s="15"/>
      <x:c r="C64" s="15"/>
      <x:c r="D64" s="15"/>
      <x:c r="E64" s="15"/>
      <x:c r="F64" s="15"/>
      <x:c r="G64" s="20"/>
      <x:c r="H64" s="15"/>
      <x:c r="I64" s="19" t="str">
        <x:f>IFERROR(INDEX('Assumptions'!$D$5:$G$22,MATCH(C64,'Assumptions'!$A$5:$A$22,0),MATCH(H64,'Assumptions'!$D$4:$G$4,0)),"")</x:f>
      </x:c>
      <x:c r="J64" s="20" t="str">
        <x:f>IF(OR(G64="",I64=""),"",WORKDAY(G64,I64,'Assumptions'!$M$5:$M$24))</x:f>
      </x:c>
      <x:c r="K64" s="20"/>
      <x:c r="L64" s="20"/>
      <x:c r="M64" s="19" t="str">
        <x:f>IF(K64="","",IF(L64&lt;&gt;"",L64-K64,IF(TODAY()&gt;K64,TODAY()-K64,0)))</x:f>
      </x:c>
      <x:c r="N64" s="15"/>
      <x:c r="O64" s="22"/>
      <x:c r="P64" s="15"/>
      <x:c r="Q64" s="15"/>
      <x:c r="R64" s="15"/>
      <x:c r="S64" s="15"/>
      <x:c r="T64" s="15"/>
      <x:c r="U64" s="15"/>
      <x:c r="V64" s="15"/>
    </x:row>
    <x:row r="65">
      <x:c r="A65" s="15"/>
      <x:c r="B65" s="15"/>
      <x:c r="C65" s="15"/>
      <x:c r="D65" s="15"/>
      <x:c r="E65" s="15"/>
      <x:c r="F65" s="15"/>
      <x:c r="G65" s="20"/>
      <x:c r="H65" s="15"/>
      <x:c r="I65" s="19" t="str">
        <x:f>IFERROR(INDEX('Assumptions'!$D$5:$G$22,MATCH(C65,'Assumptions'!$A$5:$A$22,0),MATCH(H65,'Assumptions'!$D$4:$G$4,0)),"")</x:f>
      </x:c>
      <x:c r="J65" s="20" t="str">
        <x:f>IF(OR(G65="",I65=""),"",WORKDAY(G65,I65,'Assumptions'!$M$5:$M$24))</x:f>
      </x:c>
      <x:c r="K65" s="20"/>
      <x:c r="L65" s="20"/>
      <x:c r="M65" s="19" t="str">
        <x:f>IF(K65="","",IF(L65&lt;&gt;"",L65-K65,IF(TODAY()&gt;K65,TODAY()-K65,0)))</x:f>
      </x:c>
      <x:c r="N65" s="15"/>
      <x:c r="O65" s="22"/>
      <x:c r="P65" s="15"/>
      <x:c r="Q65" s="15"/>
      <x:c r="R65" s="15"/>
      <x:c r="S65" s="15"/>
      <x:c r="T65" s="15"/>
      <x:c r="U65" s="15"/>
      <x:c r="V65" s="15"/>
    </x:row>
    <x:row r="66">
      <x:c r="A66" s="15"/>
      <x:c r="B66" s="15"/>
      <x:c r="C66" s="15"/>
      <x:c r="D66" s="15"/>
      <x:c r="E66" s="15"/>
      <x:c r="F66" s="15"/>
      <x:c r="G66" s="20"/>
      <x:c r="H66" s="15"/>
      <x:c r="I66" s="19" t="str">
        <x:f>IFERROR(INDEX('Assumptions'!$D$5:$G$22,MATCH(C66,'Assumptions'!$A$5:$A$22,0),MATCH(H66,'Assumptions'!$D$4:$G$4,0)),"")</x:f>
      </x:c>
      <x:c r="J66" s="20" t="str">
        <x:f>IF(OR(G66="",I66=""),"",WORKDAY(G66,I66,'Assumptions'!$M$5:$M$24))</x:f>
      </x:c>
      <x:c r="K66" s="20"/>
      <x:c r="L66" s="20"/>
      <x:c r="M66" s="19" t="str">
        <x:f>IF(K66="","",IF(L66&lt;&gt;"",L66-K66,IF(TODAY()&gt;K66,TODAY()-K66,0)))</x:f>
      </x:c>
      <x:c r="N66" s="15"/>
      <x:c r="O66" s="22"/>
      <x:c r="P66" s="15"/>
      <x:c r="Q66" s="15"/>
      <x:c r="R66" s="15"/>
      <x:c r="S66" s="15"/>
      <x:c r="T66" s="15"/>
      <x:c r="U66" s="15"/>
      <x:c r="V66" s="15"/>
    </x:row>
    <x:row r="67">
      <x:c r="A67" s="15"/>
      <x:c r="B67" s="15"/>
      <x:c r="C67" s="15"/>
      <x:c r="D67" s="15"/>
      <x:c r="E67" s="15"/>
      <x:c r="F67" s="15"/>
      <x:c r="G67" s="20"/>
      <x:c r="H67" s="15"/>
      <x:c r="I67" s="19" t="str">
        <x:f>IFERROR(INDEX('Assumptions'!$D$5:$G$22,MATCH(C67,'Assumptions'!$A$5:$A$22,0),MATCH(H67,'Assumptions'!$D$4:$G$4,0)),"")</x:f>
      </x:c>
      <x:c r="J67" s="20" t="str">
        <x:f>IF(OR(G67="",I67=""),"",WORKDAY(G67,I67,'Assumptions'!$M$5:$M$24))</x:f>
      </x:c>
      <x:c r="K67" s="20"/>
      <x:c r="L67" s="20"/>
      <x:c r="M67" s="19" t="str">
        <x:f>IF(K67="","",IF(L67&lt;&gt;"",L67-K67,IF(TODAY()&gt;K67,TODAY()-K67,0)))</x:f>
      </x:c>
      <x:c r="N67" s="15"/>
      <x:c r="O67" s="22"/>
      <x:c r="P67" s="15"/>
      <x:c r="Q67" s="15"/>
      <x:c r="R67" s="15"/>
      <x:c r="S67" s="15"/>
      <x:c r="T67" s="15"/>
      <x:c r="U67" s="15"/>
      <x:c r="V67" s="15"/>
    </x:row>
    <x:row r="68">
      <x:c r="A68" s="15"/>
      <x:c r="B68" s="15"/>
      <x:c r="C68" s="15"/>
      <x:c r="D68" s="15"/>
      <x:c r="E68" s="15"/>
      <x:c r="F68" s="15"/>
      <x:c r="G68" s="20"/>
      <x:c r="H68" s="15"/>
      <x:c r="I68" s="19" t="str">
        <x:f>IFERROR(INDEX('Assumptions'!$D$5:$G$22,MATCH(C68,'Assumptions'!$A$5:$A$22,0),MATCH(H68,'Assumptions'!$D$4:$G$4,0)),"")</x:f>
      </x:c>
      <x:c r="J68" s="20" t="str">
        <x:f>IF(OR(G68="",I68=""),"",WORKDAY(G68,I68,'Assumptions'!$M$5:$M$24))</x:f>
      </x:c>
      <x:c r="K68" s="20"/>
      <x:c r="L68" s="20"/>
      <x:c r="M68" s="19" t="str">
        <x:f>IF(K68="","",IF(L68&lt;&gt;"",L68-K68,IF(TODAY()&gt;K68,TODAY()-K68,0)))</x:f>
      </x:c>
      <x:c r="N68" s="15"/>
      <x:c r="O68" s="22"/>
      <x:c r="P68" s="15"/>
      <x:c r="Q68" s="15"/>
      <x:c r="R68" s="15"/>
      <x:c r="S68" s="15"/>
      <x:c r="T68" s="15"/>
      <x:c r="U68" s="15"/>
      <x:c r="V68" s="15"/>
    </x:row>
    <x:row r="69">
      <x:c r="A69" s="15"/>
      <x:c r="B69" s="15"/>
      <x:c r="C69" s="15"/>
      <x:c r="D69" s="15"/>
      <x:c r="E69" s="15"/>
      <x:c r="F69" s="15"/>
      <x:c r="G69" s="20"/>
      <x:c r="H69" s="15"/>
      <x:c r="I69" s="19" t="str">
        <x:f>IFERROR(INDEX('Assumptions'!$D$5:$G$22,MATCH(C69,'Assumptions'!$A$5:$A$22,0),MATCH(H69,'Assumptions'!$D$4:$G$4,0)),"")</x:f>
      </x:c>
      <x:c r="J69" s="20" t="str">
        <x:f>IF(OR(G69="",I69=""),"",WORKDAY(G69,I69,'Assumptions'!$M$5:$M$24))</x:f>
      </x:c>
      <x:c r="K69" s="20"/>
      <x:c r="L69" s="20"/>
      <x:c r="M69" s="19" t="str">
        <x:f>IF(K69="","",IF(L69&lt;&gt;"",L69-K69,IF(TODAY()&gt;K69,TODAY()-K69,0)))</x:f>
      </x:c>
      <x:c r="N69" s="15"/>
      <x:c r="O69" s="22"/>
      <x:c r="P69" s="15"/>
      <x:c r="Q69" s="15"/>
      <x:c r="R69" s="15"/>
      <x:c r="S69" s="15"/>
      <x:c r="T69" s="15"/>
      <x:c r="U69" s="15"/>
      <x:c r="V69" s="15"/>
    </x:row>
    <x:row r="70">
      <x:c r="A70" s="15"/>
      <x:c r="B70" s="15"/>
      <x:c r="C70" s="15"/>
      <x:c r="D70" s="15"/>
      <x:c r="E70" s="15"/>
      <x:c r="F70" s="15"/>
      <x:c r="G70" s="20"/>
      <x:c r="H70" s="15"/>
      <x:c r="I70" s="19" t="str">
        <x:f>IFERROR(INDEX('Assumptions'!$D$5:$G$22,MATCH(C70,'Assumptions'!$A$5:$A$22,0),MATCH(H70,'Assumptions'!$D$4:$G$4,0)),"")</x:f>
      </x:c>
      <x:c r="J70" s="20" t="str">
        <x:f>IF(OR(G70="",I70=""),"",WORKDAY(G70,I70,'Assumptions'!$M$5:$M$24))</x:f>
      </x:c>
      <x:c r="K70" s="20"/>
      <x:c r="L70" s="20"/>
      <x:c r="M70" s="19" t="str">
        <x:f>IF(K70="","",IF(L70&lt;&gt;"",L70-K70,IF(TODAY()&gt;K70,TODAY()-K70,0)))</x:f>
      </x:c>
      <x:c r="N70" s="15"/>
      <x:c r="O70" s="22"/>
      <x:c r="P70" s="15"/>
      <x:c r="Q70" s="15"/>
      <x:c r="R70" s="15"/>
      <x:c r="S70" s="15"/>
      <x:c r="T70" s="15"/>
      <x:c r="U70" s="15"/>
      <x:c r="V70" s="15"/>
    </x:row>
    <x:row r="71">
      <x:c r="A71" s="15"/>
      <x:c r="B71" s="15"/>
      <x:c r="C71" s="15"/>
      <x:c r="D71" s="15"/>
      <x:c r="E71" s="15"/>
      <x:c r="F71" s="15"/>
      <x:c r="G71" s="20"/>
      <x:c r="H71" s="15"/>
      <x:c r="I71" s="19" t="str">
        <x:f>IFERROR(INDEX('Assumptions'!$D$5:$G$22,MATCH(C71,'Assumptions'!$A$5:$A$22,0),MATCH(H71,'Assumptions'!$D$4:$G$4,0)),"")</x:f>
      </x:c>
      <x:c r="J71" s="20" t="str">
        <x:f>IF(OR(G71="",I71=""),"",WORKDAY(G71,I71,'Assumptions'!$M$5:$M$24))</x:f>
      </x:c>
      <x:c r="K71" s="20"/>
      <x:c r="L71" s="20"/>
      <x:c r="M71" s="19" t="str">
        <x:f>IF(K71="","",IF(L71&lt;&gt;"",L71-K71,IF(TODAY()&gt;K71,TODAY()-K71,0)))</x:f>
      </x:c>
      <x:c r="N71" s="15"/>
      <x:c r="O71" s="22"/>
      <x:c r="P71" s="15"/>
      <x:c r="Q71" s="15"/>
      <x:c r="R71" s="15"/>
      <x:c r="S71" s="15"/>
      <x:c r="T71" s="15"/>
      <x:c r="U71" s="15"/>
      <x:c r="V71" s="15"/>
    </x:row>
    <x:row r="72">
      <x:c r="A72" s="15"/>
      <x:c r="B72" s="15"/>
      <x:c r="C72" s="15"/>
      <x:c r="D72" s="15"/>
      <x:c r="E72" s="15"/>
      <x:c r="F72" s="15"/>
      <x:c r="G72" s="20"/>
      <x:c r="H72" s="15"/>
      <x:c r="I72" s="19" t="str">
        <x:f>IFERROR(INDEX('Assumptions'!$D$5:$G$22,MATCH(C72,'Assumptions'!$A$5:$A$22,0),MATCH(H72,'Assumptions'!$D$4:$G$4,0)),"")</x:f>
      </x:c>
      <x:c r="J72" s="20" t="str">
        <x:f>IF(OR(G72="",I72=""),"",WORKDAY(G72,I72,'Assumptions'!$M$5:$M$24))</x:f>
      </x:c>
      <x:c r="K72" s="20"/>
      <x:c r="L72" s="20"/>
      <x:c r="M72" s="19" t="str">
        <x:f>IF(K72="","",IF(L72&lt;&gt;"",L72-K72,IF(TODAY()&gt;K72,TODAY()-K72,0)))</x:f>
      </x:c>
      <x:c r="N72" s="15"/>
      <x:c r="O72" s="22"/>
      <x:c r="P72" s="15"/>
      <x:c r="Q72" s="15"/>
      <x:c r="R72" s="15"/>
      <x:c r="S72" s="15"/>
      <x:c r="T72" s="15"/>
      <x:c r="U72" s="15"/>
      <x:c r="V72" s="15"/>
    </x:row>
    <x:row r="73">
      <x:c r="A73" s="15"/>
      <x:c r="B73" s="15"/>
      <x:c r="C73" s="15"/>
      <x:c r="D73" s="15"/>
      <x:c r="E73" s="15"/>
      <x:c r="F73" s="15"/>
      <x:c r="G73" s="20"/>
      <x:c r="H73" s="15"/>
      <x:c r="I73" s="19" t="str">
        <x:f>IFERROR(INDEX('Assumptions'!$D$5:$G$22,MATCH(C73,'Assumptions'!$A$5:$A$22,0),MATCH(H73,'Assumptions'!$D$4:$G$4,0)),"")</x:f>
      </x:c>
      <x:c r="J73" s="20" t="str">
        <x:f>IF(OR(G73="",I73=""),"",WORKDAY(G73,I73,'Assumptions'!$M$5:$M$24))</x:f>
      </x:c>
      <x:c r="K73" s="20"/>
      <x:c r="L73" s="20"/>
      <x:c r="M73" s="19" t="str">
        <x:f>IF(K73="","",IF(L73&lt;&gt;"",L73-K73,IF(TODAY()&gt;K73,TODAY()-K73,0)))</x:f>
      </x:c>
      <x:c r="N73" s="15"/>
      <x:c r="O73" s="22"/>
      <x:c r="P73" s="15"/>
      <x:c r="Q73" s="15"/>
      <x:c r="R73" s="15"/>
      <x:c r="S73" s="15"/>
      <x:c r="T73" s="15"/>
      <x:c r="U73" s="15"/>
      <x:c r="V73" s="15"/>
    </x:row>
    <x:row r="74">
      <x:c r="A74" s="15"/>
      <x:c r="B74" s="15"/>
      <x:c r="C74" s="15"/>
      <x:c r="D74" s="15"/>
      <x:c r="E74" s="15"/>
      <x:c r="F74" s="15"/>
      <x:c r="G74" s="20"/>
      <x:c r="H74" s="15"/>
      <x:c r="I74" s="19" t="str">
        <x:f>IFERROR(INDEX('Assumptions'!$D$5:$G$22,MATCH(C74,'Assumptions'!$A$5:$A$22,0),MATCH(H74,'Assumptions'!$D$4:$G$4,0)),"")</x:f>
      </x:c>
      <x:c r="J74" s="20" t="str">
        <x:f>IF(OR(G74="",I74=""),"",WORKDAY(G74,I74,'Assumptions'!$M$5:$M$24))</x:f>
      </x:c>
      <x:c r="K74" s="20"/>
      <x:c r="L74" s="20"/>
      <x:c r="M74" s="19" t="str">
        <x:f>IF(K74="","",IF(L74&lt;&gt;"",L74-K74,IF(TODAY()&gt;K74,TODAY()-K74,0)))</x:f>
      </x:c>
      <x:c r="N74" s="15"/>
      <x:c r="O74" s="22"/>
      <x:c r="P74" s="15"/>
      <x:c r="Q74" s="15"/>
      <x:c r="R74" s="15"/>
      <x:c r="S74" s="15"/>
      <x:c r="T74" s="15"/>
      <x:c r="U74" s="15"/>
      <x:c r="V74" s="15"/>
    </x:row>
    <x:row r="75">
      <x:c r="A75" s="15"/>
      <x:c r="B75" s="15"/>
      <x:c r="C75" s="15"/>
      <x:c r="D75" s="15"/>
      <x:c r="E75" s="15"/>
      <x:c r="F75" s="15"/>
      <x:c r="G75" s="20"/>
      <x:c r="H75" s="15"/>
      <x:c r="I75" s="19" t="str">
        <x:f>IFERROR(INDEX('Assumptions'!$D$5:$G$22,MATCH(C75,'Assumptions'!$A$5:$A$22,0),MATCH(H75,'Assumptions'!$D$4:$G$4,0)),"")</x:f>
      </x:c>
      <x:c r="J75" s="20" t="str">
        <x:f>IF(OR(G75="",I75=""),"",WORKDAY(G75,I75,'Assumptions'!$M$5:$M$24))</x:f>
      </x:c>
      <x:c r="K75" s="20"/>
      <x:c r="L75" s="20"/>
      <x:c r="M75" s="19" t="str">
        <x:f>IF(K75="","",IF(L75&lt;&gt;"",L75-K75,IF(TODAY()&gt;K75,TODAY()-K75,0)))</x:f>
      </x:c>
      <x:c r="N75" s="15"/>
      <x:c r="O75" s="22"/>
      <x:c r="P75" s="15"/>
      <x:c r="Q75" s="15"/>
      <x:c r="R75" s="15"/>
      <x:c r="S75" s="15"/>
      <x:c r="T75" s="15"/>
      <x:c r="U75" s="15"/>
      <x:c r="V75" s="15"/>
    </x:row>
    <x:row r="76">
      <x:c r="A76" s="15"/>
      <x:c r="B76" s="15"/>
      <x:c r="C76" s="15"/>
      <x:c r="D76" s="15"/>
      <x:c r="E76" s="15"/>
      <x:c r="F76" s="15"/>
      <x:c r="G76" s="20"/>
      <x:c r="H76" s="15"/>
      <x:c r="I76" s="19" t="str">
        <x:f>IFERROR(INDEX('Assumptions'!$D$5:$G$22,MATCH(C76,'Assumptions'!$A$5:$A$22,0),MATCH(H76,'Assumptions'!$D$4:$G$4,0)),"")</x:f>
      </x:c>
      <x:c r="J76" s="20" t="str">
        <x:f>IF(OR(G76="",I76=""),"",WORKDAY(G76,I76,'Assumptions'!$M$5:$M$24))</x:f>
      </x:c>
      <x:c r="K76" s="20"/>
      <x:c r="L76" s="20"/>
      <x:c r="M76" s="19" t="str">
        <x:f>IF(K76="","",IF(L76&lt;&gt;"",L76-K76,IF(TODAY()&gt;K76,TODAY()-K76,0)))</x:f>
      </x:c>
      <x:c r="N76" s="15"/>
      <x:c r="O76" s="22"/>
      <x:c r="P76" s="15"/>
      <x:c r="Q76" s="15"/>
      <x:c r="R76" s="15"/>
      <x:c r="S76" s="15"/>
      <x:c r="T76" s="15"/>
      <x:c r="U76" s="15"/>
      <x:c r="V76" s="15"/>
    </x:row>
    <x:row r="77">
      <x:c r="A77" s="15"/>
      <x:c r="B77" s="15"/>
      <x:c r="C77" s="15"/>
      <x:c r="D77" s="15"/>
      <x:c r="E77" s="15"/>
      <x:c r="F77" s="15"/>
      <x:c r="G77" s="20"/>
      <x:c r="H77" s="15"/>
      <x:c r="I77" s="19" t="str">
        <x:f>IFERROR(INDEX('Assumptions'!$D$5:$G$22,MATCH(C77,'Assumptions'!$A$5:$A$22,0),MATCH(H77,'Assumptions'!$D$4:$G$4,0)),"")</x:f>
      </x:c>
      <x:c r="J77" s="20" t="str">
        <x:f>IF(OR(G77="",I77=""),"",WORKDAY(G77,I77,'Assumptions'!$M$5:$M$24))</x:f>
      </x:c>
      <x:c r="K77" s="20"/>
      <x:c r="L77" s="20"/>
      <x:c r="M77" s="19" t="str">
        <x:f>IF(K77="","",IF(L77&lt;&gt;"",L77-K77,IF(TODAY()&gt;K77,TODAY()-K77,0)))</x:f>
      </x:c>
      <x:c r="N77" s="15"/>
      <x:c r="O77" s="22"/>
      <x:c r="P77" s="15"/>
      <x:c r="Q77" s="15"/>
      <x:c r="R77" s="15"/>
      <x:c r="S77" s="15"/>
      <x:c r="T77" s="15"/>
      <x:c r="U77" s="15"/>
      <x:c r="V77" s="15"/>
    </x:row>
    <x:row r="78">
      <x:c r="A78" s="15"/>
      <x:c r="B78" s="15"/>
      <x:c r="C78" s="15"/>
      <x:c r="D78" s="15"/>
      <x:c r="E78" s="15"/>
      <x:c r="F78" s="15"/>
      <x:c r="G78" s="20"/>
      <x:c r="H78" s="15"/>
      <x:c r="I78" s="19" t="str">
        <x:f>IFERROR(INDEX('Assumptions'!$D$5:$G$22,MATCH(C78,'Assumptions'!$A$5:$A$22,0),MATCH(H78,'Assumptions'!$D$4:$G$4,0)),"")</x:f>
      </x:c>
      <x:c r="J78" s="20" t="str">
        <x:f>IF(OR(G78="",I78=""),"",WORKDAY(G78,I78,'Assumptions'!$M$5:$M$24))</x:f>
      </x:c>
      <x:c r="K78" s="20"/>
      <x:c r="L78" s="20"/>
      <x:c r="M78" s="19" t="str">
        <x:f>IF(K78="","",IF(L78&lt;&gt;"",L78-K78,IF(TODAY()&gt;K78,TODAY()-K78,0)))</x:f>
      </x:c>
      <x:c r="N78" s="15"/>
      <x:c r="O78" s="22"/>
      <x:c r="P78" s="15"/>
      <x:c r="Q78" s="15"/>
      <x:c r="R78" s="15"/>
      <x:c r="S78" s="15"/>
      <x:c r="T78" s="15"/>
      <x:c r="U78" s="15"/>
      <x:c r="V78" s="15"/>
    </x:row>
    <x:row r="79">
      <x:c r="A79" s="15"/>
      <x:c r="B79" s="15"/>
      <x:c r="C79" s="15"/>
      <x:c r="D79" s="15"/>
      <x:c r="E79" s="15"/>
      <x:c r="F79" s="15"/>
      <x:c r="G79" s="20"/>
      <x:c r="H79" s="15"/>
      <x:c r="I79" s="19" t="str">
        <x:f>IFERROR(INDEX('Assumptions'!$D$5:$G$22,MATCH(C79,'Assumptions'!$A$5:$A$22,0),MATCH(H79,'Assumptions'!$D$4:$G$4,0)),"")</x:f>
      </x:c>
      <x:c r="J79" s="20" t="str">
        <x:f>IF(OR(G79="",I79=""),"",WORKDAY(G79,I79,'Assumptions'!$M$5:$M$24))</x:f>
      </x:c>
      <x:c r="K79" s="20"/>
      <x:c r="L79" s="20"/>
      <x:c r="M79" s="19" t="str">
        <x:f>IF(K79="","",IF(L79&lt;&gt;"",L79-K79,IF(TODAY()&gt;K79,TODAY()-K79,0)))</x:f>
      </x:c>
      <x:c r="N79" s="15"/>
      <x:c r="O79" s="22"/>
      <x:c r="P79" s="15"/>
      <x:c r="Q79" s="15"/>
      <x:c r="R79" s="15"/>
      <x:c r="S79" s="15"/>
      <x:c r="T79" s="15"/>
      <x:c r="U79" s="15"/>
      <x:c r="V79" s="15"/>
    </x:row>
    <x:row r="80">
      <x:c r="A80" s="15"/>
      <x:c r="B80" s="15"/>
      <x:c r="C80" s="15"/>
      <x:c r="D80" s="15"/>
      <x:c r="E80" s="15"/>
      <x:c r="F80" s="15"/>
      <x:c r="G80" s="20"/>
      <x:c r="H80" s="15"/>
      <x:c r="I80" s="19" t="str">
        <x:f>IFERROR(INDEX('Assumptions'!$D$5:$G$22,MATCH(C80,'Assumptions'!$A$5:$A$22,0),MATCH(H80,'Assumptions'!$D$4:$G$4,0)),"")</x:f>
      </x:c>
      <x:c r="J80" s="20" t="str">
        <x:f>IF(OR(G80="",I80=""),"",WORKDAY(G80,I80,'Assumptions'!$M$5:$M$24))</x:f>
      </x:c>
      <x:c r="K80" s="20"/>
      <x:c r="L80" s="20"/>
      <x:c r="M80" s="19" t="str">
        <x:f>IF(K80="","",IF(L80&lt;&gt;"",L80-K80,IF(TODAY()&gt;K80,TODAY()-K80,0)))</x:f>
      </x:c>
      <x:c r="N80" s="15"/>
      <x:c r="O80" s="22"/>
      <x:c r="P80" s="15"/>
      <x:c r="Q80" s="15"/>
      <x:c r="R80" s="15"/>
      <x:c r="S80" s="15"/>
      <x:c r="T80" s="15"/>
      <x:c r="U80" s="15"/>
      <x:c r="V80" s="15"/>
    </x:row>
    <x:row r="81">
      <x:c r="A81" s="15"/>
      <x:c r="B81" s="15"/>
      <x:c r="C81" s="15"/>
      <x:c r="D81" s="15"/>
      <x:c r="E81" s="15"/>
      <x:c r="F81" s="15"/>
      <x:c r="G81" s="20"/>
      <x:c r="H81" s="15"/>
      <x:c r="I81" s="19" t="str">
        <x:f>IFERROR(INDEX('Assumptions'!$D$5:$G$22,MATCH(C81,'Assumptions'!$A$5:$A$22,0),MATCH(H81,'Assumptions'!$D$4:$G$4,0)),"")</x:f>
      </x:c>
      <x:c r="J81" s="20" t="str">
        <x:f>IF(OR(G81="",I81=""),"",WORKDAY(G81,I81,'Assumptions'!$M$5:$M$24))</x:f>
      </x:c>
      <x:c r="K81" s="20"/>
      <x:c r="L81" s="20"/>
      <x:c r="M81" s="19" t="str">
        <x:f>IF(K81="","",IF(L81&lt;&gt;"",L81-K81,IF(TODAY()&gt;K81,TODAY()-K81,0)))</x:f>
      </x:c>
      <x:c r="N81" s="15"/>
      <x:c r="O81" s="22"/>
      <x:c r="P81" s="15"/>
      <x:c r="Q81" s="15"/>
      <x:c r="R81" s="15"/>
      <x:c r="S81" s="15"/>
      <x:c r="T81" s="15"/>
      <x:c r="U81" s="15"/>
      <x:c r="V81" s="15"/>
    </x:row>
    <x:row r="82">
      <x:c r="A82" s="15"/>
      <x:c r="B82" s="15"/>
      <x:c r="C82" s="15"/>
      <x:c r="D82" s="15"/>
      <x:c r="E82" s="15"/>
      <x:c r="F82" s="15"/>
      <x:c r="G82" s="20"/>
      <x:c r="H82" s="15"/>
      <x:c r="I82" s="19" t="str">
        <x:f>IFERROR(INDEX('Assumptions'!$D$5:$G$22,MATCH(C82,'Assumptions'!$A$5:$A$22,0),MATCH(H82,'Assumptions'!$D$4:$G$4,0)),"")</x:f>
      </x:c>
      <x:c r="J82" s="20" t="str">
        <x:f>IF(OR(G82="",I82=""),"",WORKDAY(G82,I82,'Assumptions'!$M$5:$M$24))</x:f>
      </x:c>
      <x:c r="K82" s="20"/>
      <x:c r="L82" s="20"/>
      <x:c r="M82" s="19" t="str">
        <x:f>IF(K82="","",IF(L82&lt;&gt;"",L82-K82,IF(TODAY()&gt;K82,TODAY()-K82,0)))</x:f>
      </x:c>
      <x:c r="N82" s="15"/>
      <x:c r="O82" s="22"/>
      <x:c r="P82" s="15"/>
      <x:c r="Q82" s="15"/>
      <x:c r="R82" s="15"/>
      <x:c r="S82" s="15"/>
      <x:c r="T82" s="15"/>
      <x:c r="U82" s="15"/>
      <x:c r="V82" s="15"/>
    </x:row>
    <x:row r="83">
      <x:c r="A83" s="15"/>
      <x:c r="B83" s="15"/>
      <x:c r="C83" s="15"/>
      <x:c r="D83" s="15"/>
      <x:c r="E83" s="15"/>
      <x:c r="F83" s="15"/>
      <x:c r="G83" s="20"/>
      <x:c r="H83" s="15"/>
      <x:c r="I83" s="19" t="str">
        <x:f>IFERROR(INDEX('Assumptions'!$D$5:$G$22,MATCH(C83,'Assumptions'!$A$5:$A$22,0),MATCH(H83,'Assumptions'!$D$4:$G$4,0)),"")</x:f>
      </x:c>
      <x:c r="J83" s="20" t="str">
        <x:f>IF(OR(G83="",I83=""),"",WORKDAY(G83,I83,'Assumptions'!$M$5:$M$24))</x:f>
      </x:c>
      <x:c r="K83" s="20"/>
      <x:c r="L83" s="20"/>
      <x:c r="M83" s="19" t="str">
        <x:f>IF(K83="","",IF(L83&lt;&gt;"",L83-K83,IF(TODAY()&gt;K83,TODAY()-K83,0)))</x:f>
      </x:c>
      <x:c r="N83" s="15"/>
      <x:c r="O83" s="22"/>
      <x:c r="P83" s="15"/>
      <x:c r="Q83" s="15"/>
      <x:c r="R83" s="15"/>
      <x:c r="S83" s="15"/>
      <x:c r="T83" s="15"/>
      <x:c r="U83" s="15"/>
      <x:c r="V83" s="15"/>
    </x:row>
    <x:row r="84">
      <x:c r="A84" s="15"/>
      <x:c r="B84" s="15"/>
      <x:c r="C84" s="15"/>
      <x:c r="D84" s="15"/>
      <x:c r="E84" s="15"/>
      <x:c r="F84" s="15"/>
      <x:c r="G84" s="20"/>
      <x:c r="H84" s="15"/>
      <x:c r="I84" s="19" t="str">
        <x:f>IFERROR(INDEX('Assumptions'!$D$5:$G$22,MATCH(C84,'Assumptions'!$A$5:$A$22,0),MATCH(H84,'Assumptions'!$D$4:$G$4,0)),"")</x:f>
      </x:c>
      <x:c r="J84" s="20" t="str">
        <x:f>IF(OR(G84="",I84=""),"",WORKDAY(G84,I84,'Assumptions'!$M$5:$M$24))</x:f>
      </x:c>
      <x:c r="K84" s="20"/>
      <x:c r="L84" s="20"/>
      <x:c r="M84" s="19" t="str">
        <x:f>IF(K84="","",IF(L84&lt;&gt;"",L84-K84,IF(TODAY()&gt;K84,TODAY()-K84,0)))</x:f>
      </x:c>
      <x:c r="N84" s="15"/>
      <x:c r="O84" s="22"/>
      <x:c r="P84" s="15"/>
      <x:c r="Q84" s="15"/>
      <x:c r="R84" s="15"/>
      <x:c r="S84" s="15"/>
      <x:c r="T84" s="15"/>
      <x:c r="U84" s="15"/>
      <x:c r="V84" s="15"/>
    </x:row>
    <x:row r="85">
      <x:c r="A85" s="15"/>
      <x:c r="B85" s="15"/>
      <x:c r="C85" s="15"/>
      <x:c r="D85" s="15"/>
      <x:c r="E85" s="15"/>
      <x:c r="F85" s="15"/>
      <x:c r="G85" s="20"/>
      <x:c r="H85" s="15"/>
      <x:c r="I85" s="19" t="str">
        <x:f>IFERROR(INDEX('Assumptions'!$D$5:$G$22,MATCH(C85,'Assumptions'!$A$5:$A$22,0),MATCH(H85,'Assumptions'!$D$4:$G$4,0)),"")</x:f>
      </x:c>
      <x:c r="J85" s="20" t="str">
        <x:f>IF(OR(G85="",I85=""),"",WORKDAY(G85,I85,'Assumptions'!$M$5:$M$24))</x:f>
      </x:c>
      <x:c r="K85" s="20"/>
      <x:c r="L85" s="20"/>
      <x:c r="M85" s="19" t="str">
        <x:f>IF(K85="","",IF(L85&lt;&gt;"",L85-K85,IF(TODAY()&gt;K85,TODAY()-K85,0)))</x:f>
      </x:c>
      <x:c r="N85" s="15"/>
      <x:c r="O85" s="22"/>
      <x:c r="P85" s="15"/>
      <x:c r="Q85" s="15"/>
      <x:c r="R85" s="15"/>
      <x:c r="S85" s="15"/>
      <x:c r="T85" s="15"/>
      <x:c r="U85" s="15"/>
      <x:c r="V85" s="15"/>
    </x:row>
    <x:row r="86">
      <x:c r="A86" s="15"/>
      <x:c r="B86" s="15"/>
      <x:c r="C86" s="15"/>
      <x:c r="D86" s="15"/>
      <x:c r="E86" s="15"/>
      <x:c r="F86" s="15"/>
      <x:c r="G86" s="20"/>
      <x:c r="H86" s="15"/>
      <x:c r="I86" s="19" t="str">
        <x:f>IFERROR(INDEX('Assumptions'!$D$5:$G$22,MATCH(C86,'Assumptions'!$A$5:$A$22,0),MATCH(H86,'Assumptions'!$D$4:$G$4,0)),"")</x:f>
      </x:c>
      <x:c r="J86" s="20" t="str">
        <x:f>IF(OR(G86="",I86=""),"",WORKDAY(G86,I86,'Assumptions'!$M$5:$M$24))</x:f>
      </x:c>
      <x:c r="K86" s="20"/>
      <x:c r="L86" s="20"/>
      <x:c r="M86" s="19" t="str">
        <x:f>IF(K86="","",IF(L86&lt;&gt;"",L86-K86,IF(TODAY()&gt;K86,TODAY()-K86,0)))</x:f>
      </x:c>
      <x:c r="N86" s="15"/>
      <x:c r="O86" s="22"/>
      <x:c r="P86" s="15"/>
      <x:c r="Q86" s="15"/>
      <x:c r="R86" s="15"/>
      <x:c r="S86" s="15"/>
      <x:c r="T86" s="15"/>
      <x:c r="U86" s="15"/>
      <x:c r="V86" s="15"/>
    </x:row>
    <x:row r="87">
      <x:c r="A87" s="15"/>
      <x:c r="B87" s="15"/>
      <x:c r="C87" s="15"/>
      <x:c r="D87" s="15"/>
      <x:c r="E87" s="15"/>
      <x:c r="F87" s="15"/>
      <x:c r="G87" s="20"/>
      <x:c r="H87" s="15"/>
      <x:c r="I87" s="19" t="str">
        <x:f>IFERROR(INDEX('Assumptions'!$D$5:$G$22,MATCH(C87,'Assumptions'!$A$5:$A$22,0),MATCH(H87,'Assumptions'!$D$4:$G$4,0)),"")</x:f>
      </x:c>
      <x:c r="J87" s="20" t="str">
        <x:f>IF(OR(G87="",I87=""),"",WORKDAY(G87,I87,'Assumptions'!$M$5:$M$24))</x:f>
      </x:c>
      <x:c r="K87" s="20"/>
      <x:c r="L87" s="20"/>
      <x:c r="M87" s="19" t="str">
        <x:f>IF(K87="","",IF(L87&lt;&gt;"",L87-K87,IF(TODAY()&gt;K87,TODAY()-K87,0)))</x:f>
      </x:c>
      <x:c r="N87" s="15"/>
      <x:c r="O87" s="22"/>
      <x:c r="P87" s="15"/>
      <x:c r="Q87" s="15"/>
      <x:c r="R87" s="15"/>
      <x:c r="S87" s="15"/>
      <x:c r="T87" s="15"/>
      <x:c r="U87" s="15"/>
      <x:c r="V87" s="15"/>
    </x:row>
    <x:row r="88">
      <x:c r="A88" s="15"/>
      <x:c r="B88" s="15"/>
      <x:c r="C88" s="15"/>
      <x:c r="D88" s="15"/>
      <x:c r="E88" s="15"/>
      <x:c r="F88" s="15"/>
      <x:c r="G88" s="20"/>
      <x:c r="H88" s="15"/>
      <x:c r="I88" s="19" t="str">
        <x:f>IFERROR(INDEX('Assumptions'!$D$5:$G$22,MATCH(C88,'Assumptions'!$A$5:$A$22,0),MATCH(H88,'Assumptions'!$D$4:$G$4,0)),"")</x:f>
      </x:c>
      <x:c r="J88" s="20" t="str">
        <x:f>IF(OR(G88="",I88=""),"",WORKDAY(G88,I88,'Assumptions'!$M$5:$M$24))</x:f>
      </x:c>
      <x:c r="K88" s="20"/>
      <x:c r="L88" s="20"/>
      <x:c r="M88" s="19" t="str">
        <x:f>IF(K88="","",IF(L88&lt;&gt;"",L88-K88,IF(TODAY()&gt;K88,TODAY()-K88,0)))</x:f>
      </x:c>
      <x:c r="N88" s="15"/>
      <x:c r="O88" s="22"/>
      <x:c r="P88" s="15"/>
      <x:c r="Q88" s="15"/>
      <x:c r="R88" s="15"/>
      <x:c r="S88" s="15"/>
      <x:c r="T88" s="15"/>
      <x:c r="U88" s="15"/>
      <x:c r="V88" s="15"/>
    </x:row>
    <x:row r="89">
      <x:c r="A89" s="15"/>
      <x:c r="B89" s="15"/>
      <x:c r="C89" s="15"/>
      <x:c r="D89" s="15"/>
      <x:c r="E89" s="15"/>
      <x:c r="F89" s="15"/>
      <x:c r="G89" s="20"/>
      <x:c r="H89" s="15"/>
      <x:c r="I89" s="19" t="str">
        <x:f>IFERROR(INDEX('Assumptions'!$D$5:$G$22,MATCH(C89,'Assumptions'!$A$5:$A$22,0),MATCH(H89,'Assumptions'!$D$4:$G$4,0)),"")</x:f>
      </x:c>
      <x:c r="J89" s="20" t="str">
        <x:f>IF(OR(G89="",I89=""),"",WORKDAY(G89,I89,'Assumptions'!$M$5:$M$24))</x:f>
      </x:c>
      <x:c r="K89" s="20"/>
      <x:c r="L89" s="20"/>
      <x:c r="M89" s="19" t="str">
        <x:f>IF(K89="","",IF(L89&lt;&gt;"",L89-K89,IF(TODAY()&gt;K89,TODAY()-K89,0)))</x:f>
      </x:c>
      <x:c r="N89" s="15"/>
      <x:c r="O89" s="22"/>
      <x:c r="P89" s="15"/>
      <x:c r="Q89" s="15"/>
      <x:c r="R89" s="15"/>
      <x:c r="S89" s="15"/>
      <x:c r="T89" s="15"/>
      <x:c r="U89" s="15"/>
      <x:c r="V89" s="15"/>
    </x:row>
    <x:row r="90">
      <x:c r="A90" s="15"/>
      <x:c r="B90" s="15"/>
      <x:c r="C90" s="15"/>
      <x:c r="D90" s="15"/>
      <x:c r="E90" s="15"/>
      <x:c r="F90" s="15"/>
      <x:c r="G90" s="20"/>
      <x:c r="H90" s="15"/>
      <x:c r="I90" s="19" t="str">
        <x:f>IFERROR(INDEX('Assumptions'!$D$5:$G$22,MATCH(C90,'Assumptions'!$A$5:$A$22,0),MATCH(H90,'Assumptions'!$D$4:$G$4,0)),"")</x:f>
      </x:c>
      <x:c r="J90" s="20" t="str">
        <x:f>IF(OR(G90="",I90=""),"",WORKDAY(G90,I90,'Assumptions'!$M$5:$M$24))</x:f>
      </x:c>
      <x:c r="K90" s="20"/>
      <x:c r="L90" s="20"/>
      <x:c r="M90" s="19" t="str">
        <x:f>IF(K90="","",IF(L90&lt;&gt;"",L90-K90,IF(TODAY()&gt;K90,TODAY()-K90,0)))</x:f>
      </x:c>
      <x:c r="N90" s="15"/>
      <x:c r="O90" s="22"/>
      <x:c r="P90" s="15"/>
      <x:c r="Q90" s="15"/>
      <x:c r="R90" s="15"/>
      <x:c r="S90" s="15"/>
      <x:c r="T90" s="15"/>
      <x:c r="U90" s="15"/>
      <x:c r="V90" s="15"/>
    </x:row>
    <x:row r="91">
      <x:c r="A91" s="15"/>
      <x:c r="B91" s="15"/>
      <x:c r="C91" s="15"/>
      <x:c r="D91" s="15"/>
      <x:c r="E91" s="15"/>
      <x:c r="F91" s="15"/>
      <x:c r="G91" s="20"/>
      <x:c r="H91" s="15"/>
      <x:c r="I91" s="19" t="str">
        <x:f>IFERROR(INDEX('Assumptions'!$D$5:$G$22,MATCH(C91,'Assumptions'!$A$5:$A$22,0),MATCH(H91,'Assumptions'!$D$4:$G$4,0)),"")</x:f>
      </x:c>
      <x:c r="J91" s="20" t="str">
        <x:f>IF(OR(G91="",I91=""),"",WORKDAY(G91,I91,'Assumptions'!$M$5:$M$24))</x:f>
      </x:c>
      <x:c r="K91" s="20"/>
      <x:c r="L91" s="20"/>
      <x:c r="M91" s="19" t="str">
        <x:f>IF(K91="","",IF(L91&lt;&gt;"",L91-K91,IF(TODAY()&gt;K91,TODAY()-K91,0)))</x:f>
      </x:c>
      <x:c r="N91" s="15"/>
      <x:c r="O91" s="22"/>
      <x:c r="P91" s="15"/>
      <x:c r="Q91" s="15"/>
      <x:c r="R91" s="15"/>
      <x:c r="S91" s="15"/>
      <x:c r="T91" s="15"/>
      <x:c r="U91" s="15"/>
      <x:c r="V91" s="15"/>
    </x:row>
    <x:row r="92">
      <x:c r="A92" s="15"/>
      <x:c r="B92" s="15"/>
      <x:c r="C92" s="15"/>
      <x:c r="D92" s="15"/>
      <x:c r="E92" s="15"/>
      <x:c r="F92" s="15"/>
      <x:c r="G92" s="20"/>
      <x:c r="H92" s="15"/>
      <x:c r="I92" s="19" t="str">
        <x:f>IFERROR(INDEX('Assumptions'!$D$5:$G$22,MATCH(C92,'Assumptions'!$A$5:$A$22,0),MATCH(H92,'Assumptions'!$D$4:$G$4,0)),"")</x:f>
      </x:c>
      <x:c r="J92" s="20" t="str">
        <x:f>IF(OR(G92="",I92=""),"",WORKDAY(G92,I92,'Assumptions'!$M$5:$M$24))</x:f>
      </x:c>
      <x:c r="K92" s="20"/>
      <x:c r="L92" s="20"/>
      <x:c r="M92" s="19" t="str">
        <x:f>IF(K92="","",IF(L92&lt;&gt;"",L92-K92,IF(TODAY()&gt;K92,TODAY()-K92,0)))</x:f>
      </x:c>
      <x:c r="N92" s="15"/>
      <x:c r="O92" s="22"/>
      <x:c r="P92" s="15"/>
      <x:c r="Q92" s="15"/>
      <x:c r="R92" s="15"/>
      <x:c r="S92" s="15"/>
      <x:c r="T92" s="15"/>
      <x:c r="U92" s="15"/>
      <x:c r="V92" s="15"/>
    </x:row>
    <x:row r="93">
      <x:c r="A93" s="15"/>
      <x:c r="B93" s="15"/>
      <x:c r="C93" s="15"/>
      <x:c r="D93" s="15"/>
      <x:c r="E93" s="15"/>
      <x:c r="F93" s="15"/>
      <x:c r="G93" s="20"/>
      <x:c r="H93" s="15"/>
      <x:c r="I93" s="19" t="str">
        <x:f>IFERROR(INDEX('Assumptions'!$D$5:$G$22,MATCH(C93,'Assumptions'!$A$5:$A$22,0),MATCH(H93,'Assumptions'!$D$4:$G$4,0)),"")</x:f>
      </x:c>
      <x:c r="J93" s="20" t="str">
        <x:f>IF(OR(G93="",I93=""),"",WORKDAY(G93,I93,'Assumptions'!$M$5:$M$24))</x:f>
      </x:c>
      <x:c r="K93" s="20"/>
      <x:c r="L93" s="20"/>
      <x:c r="M93" s="19" t="str">
        <x:f>IF(K93="","",IF(L93&lt;&gt;"",L93-K93,IF(TODAY()&gt;K93,TODAY()-K93,0)))</x:f>
      </x:c>
      <x:c r="N93" s="15"/>
      <x:c r="O93" s="22"/>
      <x:c r="P93" s="15"/>
      <x:c r="Q93" s="15"/>
      <x:c r="R93" s="15"/>
      <x:c r="S93" s="15"/>
      <x:c r="T93" s="15"/>
      <x:c r="U93" s="15"/>
      <x:c r="V93" s="15"/>
    </x:row>
    <x:row r="94">
      <x:c r="A94" s="15"/>
      <x:c r="B94" s="15"/>
      <x:c r="C94" s="15"/>
      <x:c r="D94" s="15"/>
      <x:c r="E94" s="15"/>
      <x:c r="F94" s="15"/>
      <x:c r="G94" s="20"/>
      <x:c r="H94" s="15"/>
      <x:c r="I94" s="19" t="str">
        <x:f>IFERROR(INDEX('Assumptions'!$D$5:$G$22,MATCH(C94,'Assumptions'!$A$5:$A$22,0),MATCH(H94,'Assumptions'!$D$4:$G$4,0)),"")</x:f>
      </x:c>
      <x:c r="J94" s="20" t="str">
        <x:f>IF(OR(G94="",I94=""),"",WORKDAY(G94,I94,'Assumptions'!$M$5:$M$24))</x:f>
      </x:c>
      <x:c r="K94" s="20"/>
      <x:c r="L94" s="20"/>
      <x:c r="M94" s="19" t="str">
        <x:f>IF(K94="","",IF(L94&lt;&gt;"",L94-K94,IF(TODAY()&gt;K94,TODAY()-K94,0)))</x:f>
      </x:c>
      <x:c r="N94" s="15"/>
      <x:c r="O94" s="22"/>
      <x:c r="P94" s="15"/>
      <x:c r="Q94" s="15"/>
      <x:c r="R94" s="15"/>
      <x:c r="S94" s="15"/>
      <x:c r="T94" s="15"/>
      <x:c r="U94" s="15"/>
      <x:c r="V94" s="15"/>
    </x:row>
    <x:row r="95">
      <x:c r="A95" s="15"/>
      <x:c r="B95" s="15"/>
      <x:c r="C95" s="15"/>
      <x:c r="D95" s="15"/>
      <x:c r="E95" s="15"/>
      <x:c r="F95" s="15"/>
      <x:c r="G95" s="20"/>
      <x:c r="H95" s="15"/>
      <x:c r="I95" s="19" t="str">
        <x:f>IFERROR(INDEX('Assumptions'!$D$5:$G$22,MATCH(C95,'Assumptions'!$A$5:$A$22,0),MATCH(H95,'Assumptions'!$D$4:$G$4,0)),"")</x:f>
      </x:c>
      <x:c r="J95" s="20" t="str">
        <x:f>IF(OR(G95="",I95=""),"",WORKDAY(G95,I95,'Assumptions'!$M$5:$M$24))</x:f>
      </x:c>
      <x:c r="K95" s="20"/>
      <x:c r="L95" s="20"/>
      <x:c r="M95" s="19" t="str">
        <x:f>IF(K95="","",IF(L95&lt;&gt;"",L95-K95,IF(TODAY()&gt;K95,TODAY()-K95,0)))</x:f>
      </x:c>
      <x:c r="N95" s="15"/>
      <x:c r="O95" s="22"/>
      <x:c r="P95" s="15"/>
      <x:c r="Q95" s="15"/>
      <x:c r="R95" s="15"/>
      <x:c r="S95" s="15"/>
      <x:c r="T95" s="15"/>
      <x:c r="U95" s="15"/>
      <x:c r="V95" s="15"/>
    </x:row>
    <x:row r="96">
      <x:c r="A96" s="15"/>
      <x:c r="B96" s="15"/>
      <x:c r="C96" s="15"/>
      <x:c r="D96" s="15"/>
      <x:c r="E96" s="15"/>
      <x:c r="F96" s="15"/>
      <x:c r="G96" s="20"/>
      <x:c r="H96" s="15"/>
      <x:c r="I96" s="19" t="str">
        <x:f>IFERROR(INDEX('Assumptions'!$D$5:$G$22,MATCH(C96,'Assumptions'!$A$5:$A$22,0),MATCH(H96,'Assumptions'!$D$4:$G$4,0)),"")</x:f>
      </x:c>
      <x:c r="J96" s="20" t="str">
        <x:f>IF(OR(G96="",I96=""),"",WORKDAY(G96,I96,'Assumptions'!$M$5:$M$24))</x:f>
      </x:c>
      <x:c r="K96" s="20"/>
      <x:c r="L96" s="20"/>
      <x:c r="M96" s="19" t="str">
        <x:f>IF(K96="","",IF(L96&lt;&gt;"",L96-K96,IF(TODAY()&gt;K96,TODAY()-K96,0)))</x:f>
      </x:c>
      <x:c r="N96" s="15"/>
      <x:c r="O96" s="22"/>
      <x:c r="P96" s="15"/>
      <x:c r="Q96" s="15"/>
      <x:c r="R96" s="15"/>
      <x:c r="S96" s="15"/>
      <x:c r="T96" s="15"/>
      <x:c r="U96" s="15"/>
      <x:c r="V96" s="15"/>
    </x:row>
    <x:row r="97">
      <x:c r="A97" s="15"/>
      <x:c r="B97" s="15"/>
      <x:c r="C97" s="15"/>
      <x:c r="D97" s="15"/>
      <x:c r="E97" s="15"/>
      <x:c r="F97" s="15"/>
      <x:c r="G97" s="20"/>
      <x:c r="H97" s="15"/>
      <x:c r="I97" s="19" t="str">
        <x:f>IFERROR(INDEX('Assumptions'!$D$5:$G$22,MATCH(C97,'Assumptions'!$A$5:$A$22,0),MATCH(H97,'Assumptions'!$D$4:$G$4,0)),"")</x:f>
      </x:c>
      <x:c r="J97" s="20" t="str">
        <x:f>IF(OR(G97="",I97=""),"",WORKDAY(G97,I97,'Assumptions'!$M$5:$M$24))</x:f>
      </x:c>
      <x:c r="K97" s="20"/>
      <x:c r="L97" s="20"/>
      <x:c r="M97" s="19" t="str">
        <x:f>IF(K97="","",IF(L97&lt;&gt;"",L97-K97,IF(TODAY()&gt;K97,TODAY()-K97,0)))</x:f>
      </x:c>
      <x:c r="N97" s="15"/>
      <x:c r="O97" s="22"/>
      <x:c r="P97" s="15"/>
      <x:c r="Q97" s="15"/>
      <x:c r="R97" s="15"/>
      <x:c r="S97" s="15"/>
      <x:c r="T97" s="15"/>
      <x:c r="U97" s="15"/>
      <x:c r="V97" s="15"/>
    </x:row>
    <x:row r="98">
      <x:c r="A98" s="15"/>
      <x:c r="B98" s="15"/>
      <x:c r="C98" s="15"/>
      <x:c r="D98" s="15"/>
      <x:c r="E98" s="15"/>
      <x:c r="F98" s="15"/>
      <x:c r="G98" s="20"/>
      <x:c r="H98" s="15"/>
      <x:c r="I98" s="19" t="str">
        <x:f>IFERROR(INDEX('Assumptions'!$D$5:$G$22,MATCH(C98,'Assumptions'!$A$5:$A$22,0),MATCH(H98,'Assumptions'!$D$4:$G$4,0)),"")</x:f>
      </x:c>
      <x:c r="J98" s="20" t="str">
        <x:f>IF(OR(G98="",I98=""),"",WORKDAY(G98,I98,'Assumptions'!$M$5:$M$24))</x:f>
      </x:c>
      <x:c r="K98" s="20"/>
      <x:c r="L98" s="20"/>
      <x:c r="M98" s="19" t="str">
        <x:f>IF(K98="","",IF(L98&lt;&gt;"",L98-K98,IF(TODAY()&gt;K98,TODAY()-K98,0)))</x:f>
      </x:c>
      <x:c r="N98" s="15"/>
      <x:c r="O98" s="22"/>
      <x:c r="P98" s="15"/>
      <x:c r="Q98" s="15"/>
      <x:c r="R98" s="15"/>
      <x:c r="S98" s="15"/>
      <x:c r="T98" s="15"/>
      <x:c r="U98" s="15"/>
      <x:c r="V98" s="15"/>
    </x:row>
    <x:row r="99">
      <x:c r="A99" s="15"/>
      <x:c r="B99" s="15"/>
      <x:c r="C99" s="15"/>
      <x:c r="D99" s="15"/>
      <x:c r="E99" s="15"/>
      <x:c r="F99" s="15"/>
      <x:c r="G99" s="20"/>
      <x:c r="H99" s="15"/>
      <x:c r="I99" s="19" t="str">
        <x:f>IFERROR(INDEX('Assumptions'!$D$5:$G$22,MATCH(C99,'Assumptions'!$A$5:$A$22,0),MATCH(H99,'Assumptions'!$D$4:$G$4,0)),"")</x:f>
      </x:c>
      <x:c r="J99" s="20" t="str">
        <x:f>IF(OR(G99="",I99=""),"",WORKDAY(G99,I99,'Assumptions'!$M$5:$M$24))</x:f>
      </x:c>
      <x:c r="K99" s="20"/>
      <x:c r="L99" s="20"/>
      <x:c r="M99" s="19" t="str">
        <x:f>IF(K99="","",IF(L99&lt;&gt;"",L99-K99,IF(TODAY()&gt;K99,TODAY()-K99,0)))</x:f>
      </x:c>
      <x:c r="N99" s="15"/>
      <x:c r="O99" s="22"/>
      <x:c r="P99" s="15"/>
      <x:c r="Q99" s="15"/>
      <x:c r="R99" s="15"/>
      <x:c r="S99" s="15"/>
      <x:c r="T99" s="15"/>
      <x:c r="U99" s="15"/>
      <x:c r="V99" s="15"/>
    </x:row>
    <x:row r="100">
      <x:c r="A100" s="15"/>
      <x:c r="B100" s="15"/>
      <x:c r="C100" s="15"/>
      <x:c r="D100" s="15"/>
      <x:c r="E100" s="15"/>
      <x:c r="F100" s="15"/>
      <x:c r="G100" s="20"/>
      <x:c r="H100" s="15"/>
      <x:c r="I100" s="19" t="str">
        <x:f>IFERROR(INDEX('Assumptions'!$D$5:$G$22,MATCH(C100,'Assumptions'!$A$5:$A$22,0),MATCH(H100,'Assumptions'!$D$4:$G$4,0)),"")</x:f>
      </x:c>
      <x:c r="J100" s="20" t="str">
        <x:f>IF(OR(G100="",I100=""),"",WORKDAY(G100,I100,'Assumptions'!$M$5:$M$24))</x:f>
      </x:c>
      <x:c r="K100" s="20"/>
      <x:c r="L100" s="20"/>
      <x:c r="M100" s="19" t="str">
        <x:f>IF(K100="","",IF(L100&lt;&gt;"",L100-K100,IF(TODAY()&gt;K100,TODAY()-K100,0)))</x:f>
      </x:c>
      <x:c r="N100" s="15"/>
      <x:c r="O100" s="22"/>
      <x:c r="P100" s="15"/>
      <x:c r="Q100" s="15"/>
      <x:c r="R100" s="15"/>
      <x:c r="S100" s="15"/>
      <x:c r="T100" s="15"/>
      <x:c r="U100" s="15"/>
      <x:c r="V100" s="15"/>
    </x:row>
    <x:row r="101">
      <x:c r="A101" s="15"/>
      <x:c r="B101" s="15"/>
      <x:c r="C101" s="15"/>
      <x:c r="D101" s="15"/>
      <x:c r="E101" s="15"/>
      <x:c r="F101" s="15"/>
      <x:c r="G101" s="20"/>
      <x:c r="H101" s="15"/>
      <x:c r="I101" s="19" t="str">
        <x:f>IFERROR(INDEX('Assumptions'!$D$5:$G$22,MATCH(C101,'Assumptions'!$A$5:$A$22,0),MATCH(H101,'Assumptions'!$D$4:$G$4,0)),"")</x:f>
      </x:c>
      <x:c r="J101" s="20" t="str">
        <x:f>IF(OR(G101="",I101=""),"",WORKDAY(G101,I101,'Assumptions'!$M$5:$M$24))</x:f>
      </x:c>
      <x:c r="K101" s="20"/>
      <x:c r="L101" s="20"/>
      <x:c r="M101" s="19" t="str">
        <x:f>IF(K101="","",IF(L101&lt;&gt;"",L101-K101,IF(TODAY()&gt;K101,TODAY()-K101,0)))</x:f>
      </x:c>
      <x:c r="N101" s="15"/>
      <x:c r="O101" s="22"/>
      <x:c r="P101" s="15"/>
      <x:c r="Q101" s="15"/>
      <x:c r="R101" s="15"/>
      <x:c r="S101" s="15"/>
      <x:c r="T101" s="15"/>
      <x:c r="U101" s="15"/>
      <x:c r="V101" s="15"/>
    </x:row>
    <x:row r="102">
      <x:c r="A102" s="15"/>
      <x:c r="B102" s="15"/>
      <x:c r="C102" s="15"/>
      <x:c r="D102" s="15"/>
      <x:c r="E102" s="15"/>
      <x:c r="F102" s="15"/>
      <x:c r="G102" s="20"/>
      <x:c r="H102" s="15"/>
      <x:c r="I102" s="19" t="str">
        <x:f>IFERROR(INDEX('Assumptions'!$D$5:$G$22,MATCH(C102,'Assumptions'!$A$5:$A$22,0),MATCH(H102,'Assumptions'!$D$4:$G$4,0)),"")</x:f>
      </x:c>
      <x:c r="J102" s="20" t="str">
        <x:f>IF(OR(G102="",I102=""),"",WORKDAY(G102,I102,'Assumptions'!$M$5:$M$24))</x:f>
      </x:c>
      <x:c r="K102" s="20"/>
      <x:c r="L102" s="20"/>
      <x:c r="M102" s="19" t="str">
        <x:f>IF(K102="","",IF(L102&lt;&gt;"",L102-K102,IF(TODAY()&gt;K102,TODAY()-K102,0)))</x:f>
      </x:c>
      <x:c r="N102" s="15"/>
      <x:c r="O102" s="22"/>
      <x:c r="P102" s="15"/>
      <x:c r="Q102" s="15"/>
      <x:c r="R102" s="15"/>
      <x:c r="S102" s="15"/>
      <x:c r="T102" s="15"/>
      <x:c r="U102" s="15"/>
      <x:c r="V102" s="15"/>
    </x:row>
    <x:row r="103">
      <x:c r="A103" s="15"/>
      <x:c r="B103" s="15"/>
      <x:c r="C103" s="15"/>
      <x:c r="D103" s="15"/>
      <x:c r="E103" s="15"/>
      <x:c r="F103" s="15"/>
      <x:c r="G103" s="20"/>
      <x:c r="H103" s="15"/>
      <x:c r="I103" s="19" t="str">
        <x:f>IFERROR(INDEX('Assumptions'!$D$5:$G$22,MATCH(C103,'Assumptions'!$A$5:$A$22,0),MATCH(H103,'Assumptions'!$D$4:$G$4,0)),"")</x:f>
      </x:c>
      <x:c r="J103" s="20" t="str">
        <x:f>IF(OR(G103="",I103=""),"",WORKDAY(G103,I103,'Assumptions'!$M$5:$M$24))</x:f>
      </x:c>
      <x:c r="K103" s="20"/>
      <x:c r="L103" s="20"/>
      <x:c r="M103" s="19" t="str">
        <x:f>IF(K103="","",IF(L103&lt;&gt;"",L103-K103,IF(TODAY()&gt;K103,TODAY()-K103,0)))</x:f>
      </x:c>
      <x:c r="N103" s="15"/>
      <x:c r="O103" s="22"/>
      <x:c r="P103" s="15"/>
      <x:c r="Q103" s="15"/>
      <x:c r="R103" s="15"/>
      <x:c r="S103" s="15"/>
      <x:c r="T103" s="15"/>
      <x:c r="U103" s="15"/>
      <x:c r="V103" s="15"/>
    </x:row>
    <x:row r="104">
      <x:c r="A104" s="15"/>
      <x:c r="B104" s="15"/>
      <x:c r="C104" s="15"/>
      <x:c r="D104" s="15"/>
      <x:c r="E104" s="15"/>
      <x:c r="F104" s="15"/>
      <x:c r="G104" s="20"/>
      <x:c r="H104" s="15"/>
      <x:c r="I104" s="19" t="str">
        <x:f>IFERROR(INDEX('Assumptions'!$D$5:$G$22,MATCH(C104,'Assumptions'!$A$5:$A$22,0),MATCH(H104,'Assumptions'!$D$4:$G$4,0)),"")</x:f>
      </x:c>
      <x:c r="J104" s="20" t="str">
        <x:f>IF(OR(G104="",I104=""),"",WORKDAY(G104,I104,'Assumptions'!$M$5:$M$24))</x:f>
      </x:c>
      <x:c r="K104" s="20"/>
      <x:c r="L104" s="20"/>
      <x:c r="M104" s="19" t="str">
        <x:f>IF(K104="","",IF(L104&lt;&gt;"",L104-K104,IF(TODAY()&gt;K104,TODAY()-K104,0)))</x:f>
      </x:c>
      <x:c r="N104" s="15"/>
      <x:c r="O104" s="22"/>
      <x:c r="P104" s="15"/>
      <x:c r="Q104" s="15"/>
      <x:c r="R104" s="15"/>
      <x:c r="S104" s="15"/>
      <x:c r="T104" s="15"/>
      <x:c r="U104" s="15"/>
      <x:c r="V104" s="15"/>
    </x:row>
  </x:sheetData>
  <x:mergeCells>
    <x:mergeCell ref="A1:V1"/>
    <x:mergeCell ref="A2:V2"/>
  </x:mergeCells>
  <x:conditionalFormatting sqref="N5:N104">
    <x:cfRule type="containsText" dxfId="2" priority="1" operator="containsText" text="Complete"/>
    <x:cfRule type="containsText" dxfId="3" priority="2" operator="containsText" text="Blocked"/>
    <x:cfRule type="containsText" dxfId="4" priority="3" operator="containsText" text="At Risk"/>
    <x:cfRule type="containsText" dxfId="5" priority="4" operator="containsText" text="In Progress"/>
  </x:conditionalFormatting>
  <x:conditionalFormatting sqref="M5:M104">
    <x:cfRule type="cellIs" dxfId="6" priority="5" operator="greaterThan">
      <x:formula>0</x:formula>
    </x:cfRule>
  </x:conditionalFormatting>
  <x:dataValidations count="5">
    <x:dataValidation type="list" sqref="B5:B104">
      <x:formula1>'Assumptions'!$A$27:$A$37</x:formula1>
    </x:dataValidation>
    <x:dataValidation type="list" sqref="C5:C104">
      <x:formula1>'Assumptions'!$A$5:$A$22</x:formula1>
    </x:dataValidation>
    <x:dataValidation type="list" sqref="H5:H104">
      <x:formula1>'Assumptions'!$E$27:$E$30</x:formula1>
    </x:dataValidation>
    <x:dataValidation type="list" sqref="N5:N104">
      <x:formula1>'Assumptions'!$C$27:$C$34</x:formula1>
    </x:dataValidation>
    <x:dataValidation type="list" sqref="P5:P104">
      <x:formula1>'Assumptions'!$I$5:$I$22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2fb0dbb08c4d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0" hidden="0" customWidth="1"/>
    <x:col min="4" max="4" width="12" hidden="0" customWidth="1"/>
    <x:col min="5" max="5" width="22" hidden="0" customWidth="1"/>
    <x:col min="6" max="6" width="20" hidden="0" customWidth="1"/>
    <x:col min="7" max="7" width="46" hidden="0" customWidth="1"/>
    <x:col min="8" max="8" width="24" hidden="0" customWidth="1"/>
    <x:col min="9" max="9" width="20" hidden="0" customWidth="1"/>
    <x:col min="10" max="10" width="13" hidden="0" customWidth="1"/>
    <x:col min="11" max="11" width="28" hidden="0" customWidth="1"/>
    <x:col min="12" max="12" width="22" hidden="0" customWidth="1"/>
    <x:col min="13" max="13" width="12" hidden="0" customWidth="1"/>
    <x:col min="14" max="14" width="12" hidden="0" customWidth="1"/>
    <x:col min="15" max="15" width="12" hidden="0" customWidth="1"/>
    <x:col min="16" max="16" width="16" hidden="0" customWidth="1"/>
    <x:col min="17" max="17" width="14" hidden="0" customWidth="1"/>
    <x:col min="18" max="18" width="16" hidden="0" customWidth="1"/>
    <x:col min="19" max="19" width="18" hidden="0" customWidth="1"/>
    <x:col min="20" max="20" width="16" hidden="0" customWidth="1"/>
    <x:col min="21" max="21" width="16" hidden="0" customWidth="1"/>
    <x:col min="22" max="22" width="46" hidden="0" customWidth="1"/>
  </x:cols>
  <x:sheetData>
    <x:row r="1" ht="30" customHeight="1">
      <x:c r="A1" s="38" t="str">
        <x:v>Application Rationalization Inventory</x:v>
      </x:c>
      <x:c r="B1" s="38" t="str">
        <x:v>Application Rationalization Inventory</x:v>
      </x:c>
      <x:c r="C1" s="38" t="str">
        <x:v>Application Rationalization Inventory</x:v>
      </x:c>
      <x:c r="D1" s="38" t="str">
        <x:v>Application Rationalization Inventory</x:v>
      </x:c>
      <x:c r="E1" s="38" t="str">
        <x:v>Application Rationalization Inventory</x:v>
      </x:c>
      <x:c r="F1" s="38" t="str">
        <x:v>Application Rationalization Inventory</x:v>
      </x:c>
      <x:c r="G1" s="38" t="str">
        <x:v>Application Rationalization Inventory</x:v>
      </x:c>
      <x:c r="H1" s="38" t="str">
        <x:v>Application Rationalization Inventory</x:v>
      </x:c>
      <x:c r="I1" s="38" t="str">
        <x:v>Application Rationalization Inventory</x:v>
      </x:c>
      <x:c r="J1" s="38" t="str">
        <x:v>Application Rationalization Inventory</x:v>
      </x:c>
      <x:c r="K1" s="38" t="str">
        <x:v>Application Rationalization Inventory</x:v>
      </x:c>
      <x:c r="L1" s="38" t="str">
        <x:v>Application Rationalization Inventory</x:v>
      </x:c>
      <x:c r="M1" s="38" t="str">
        <x:v>Application Rationalization Inventory</x:v>
      </x:c>
      <x:c r="N1" s="38" t="str">
        <x:v>Application Rationalization Inventory</x:v>
      </x:c>
      <x:c r="O1" s="38" t="str">
        <x:v>Application Rationalization Inventory</x:v>
      </x:c>
      <x:c r="P1" s="38" t="str">
        <x:v>Application Rationalization Inventory</x:v>
      </x:c>
      <x:c r="Q1" s="38" t="str">
        <x:v>Application Rationalization Inventory</x:v>
      </x:c>
      <x:c r="R1" s="38" t="str">
        <x:v>Application Rationalization Inventory</x:v>
      </x:c>
      <x:c r="S1" s="38" t="str">
        <x:v>Application Rationalization Inventory</x:v>
      </x:c>
      <x:c r="T1" s="38" t="str">
        <x:v>Application Rationalization Inventory</x:v>
      </x:c>
      <x:c r="U1" s="38" t="str">
        <x:v>Application Rationalization Inventory</x:v>
      </x:c>
      <x:c r="V1" s="38" t="str">
        <x:v>Application Rationalization Inventory</x:v>
      </x:c>
    </x:row>
    <x:row r="2" ht="34" customHeight="1">
      <x:c r="A2" s="39" t="str">
        <x:v>Classify the 42 CVIS legacy applications, tools, DLLs, scripts, services, and support components before committing phase dates.</x:v>
      </x:c>
      <x:c r="B2" s="39" t="str">
        <x:v>Classify the 42 CVIS legacy applications, tools, DLLs, scripts, services, and support components before committing phase dates.</x:v>
      </x:c>
      <x:c r="C2" s="39" t="str">
        <x:v>Classify the 42 CVIS legacy applications, tools, DLLs, scripts, services, and support components before committing phase dates.</x:v>
      </x:c>
      <x:c r="D2" s="39" t="str">
        <x:v>Classify the 42 CVIS legacy applications, tools, DLLs, scripts, services, and support components before committing phase dates.</x:v>
      </x:c>
      <x:c r="E2" s="39" t="str">
        <x:v>Classify the 42 CVIS legacy applications, tools, DLLs, scripts, services, and support components before committing phase dates.</x:v>
      </x:c>
      <x:c r="F2" s="39" t="str">
        <x:v>Classify the 42 CVIS legacy applications, tools, DLLs, scripts, services, and support components before committing phase dates.</x:v>
      </x:c>
      <x:c r="G2" s="39" t="str">
        <x:v>Classify the 42 CVIS legacy applications, tools, DLLs, scripts, services, and support components before committing phase dates.</x:v>
      </x:c>
      <x:c r="H2" s="39" t="str">
        <x:v>Classify the 42 CVIS legacy applications, tools, DLLs, scripts, services, and support components before committing phase dates.</x:v>
      </x:c>
      <x:c r="I2" s="39" t="str">
        <x:v>Classify the 42 CVIS legacy applications, tools, DLLs, scripts, services, and support components before committing phase dates.</x:v>
      </x:c>
      <x:c r="J2" s="39" t="str">
        <x:v>Classify the 42 CVIS legacy applications, tools, DLLs, scripts, services, and support components before committing phase dates.</x:v>
      </x:c>
      <x:c r="K2" s="39" t="str">
        <x:v>Classify the 42 CVIS legacy applications, tools, DLLs, scripts, services, and support components before committing phase dates.</x:v>
      </x:c>
      <x:c r="L2" s="39" t="str">
        <x:v>Classify the 42 CVIS legacy applications, tools, DLLs, scripts, services, and support components before committing phase dates.</x:v>
      </x:c>
      <x:c r="M2" s="39" t="str">
        <x:v>Classify the 42 CVIS legacy applications, tools, DLLs, scripts, services, and support components before committing phase dates.</x:v>
      </x:c>
      <x:c r="N2" s="39" t="str">
        <x:v>Classify the 42 CVIS legacy applications, tools, DLLs, scripts, services, and support components before committing phase dates.</x:v>
      </x:c>
      <x:c r="O2" s="39" t="str">
        <x:v>Classify the 42 CVIS legacy applications, tools, DLLs, scripts, services, and support components before committing phase dates.</x:v>
      </x:c>
      <x:c r="P2" s="39" t="str">
        <x:v>Classify the 42 CVIS legacy applications, tools, DLLs, scripts, services, and support components before committing phase dates.</x:v>
      </x:c>
      <x:c r="Q2" s="39" t="str">
        <x:v>Classify the 42 CVIS legacy applications, tools, DLLs, scripts, services, and support components before committing phase dates.</x:v>
      </x:c>
      <x:c r="R2" s="39" t="str">
        <x:v>Classify the 42 CVIS legacy applications, tools, DLLs, scripts, services, and support components before committing phase dates.</x:v>
      </x:c>
      <x:c r="S2" s="39" t="str">
        <x:v>Classify the 42 CVIS legacy applications, tools, DLLs, scripts, services, and support components before committing phase dates.</x:v>
      </x:c>
      <x:c r="T2" s="39" t="str">
        <x:v>Classify the 42 CVIS legacy applications, tools, DLLs, scripts, services, and support components before committing phase dates.</x:v>
      </x:c>
      <x:c r="U2" s="39" t="str">
        <x:v>Classify the 42 CVIS legacy applications, tools, DLLs, scripts, services, and support components before committing phase dates.</x:v>
      </x:c>
      <x:c r="V2" s="39" t="str">
        <x:v>Classify the 42 CVIS legacy applications, tools, DLLs, scripts, services, and support components before committing phase dates.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</x:row>
    <x:row r="4" ht="34" customHeight="1">
      <x:c r="A4" s="44" t="str">
        <x:v>Source Row</x:v>
      </x:c>
      <x:c r="B4" s="44" t="str">
        <x:v>App ID</x:v>
      </x:c>
      <x:c r="C4" s="44" t="str">
        <x:v>Application / Tool</x:v>
      </x:c>
      <x:c r="D4" s="44" t="str">
        <x:v>Active</x:v>
      </x:c>
      <x:c r="E4" s="44" t="str">
        <x:v>App Type</x:v>
      </x:c>
      <x:c r="F4" s="44" t="str">
        <x:v>Current Solution</x:v>
      </x:c>
      <x:c r="G4" s="44" t="str">
        <x:v>Business Function</x:v>
      </x:c>
      <x:c r="H4" s="44" t="str">
        <x:v>Primary Users / Team</x:v>
      </x:c>
      <x:c r="I4" s="44" t="str">
        <x:v>Customer / Internal</x:v>
      </x:c>
      <x:c r="J4" s="44" t="str">
        <x:v>CyberArk API</x:v>
      </x:c>
      <x:c r="K4" s="44" t="str">
        <x:v>Target Disposition</x:v>
      </x:c>
      <x:c r="L4" s="44" t="str">
        <x:v>Phase</x:v>
      </x:c>
      <x:c r="M4" s="44" t="str">
        <x:v>Priority</x:v>
      </x:c>
      <x:c r="N4" s="44" t="str">
        <x:v>Complexity</x:v>
      </x:c>
      <x:c r="O4" s="44" t="str">
        <x:v>Risk</x:v>
      </x:c>
      <x:c r="P4" s="44" t="str">
        <x:v>Migration Size</x:v>
      </x:c>
      <x:c r="Q4" s="44" t="str">
        <x:v>Est Migration Days</x:v>
      </x:c>
      <x:c r="R4" s="44" t="str">
        <x:v>Jira</x:v>
      </x:c>
      <x:c r="S4" s="44" t="str">
        <x:v>Owner</x:v>
      </x:c>
      <x:c r="T4" s="44" t="str">
        <x:v>Discovery Status</x:v>
      </x:c>
      <x:c r="U4" s="44" t="str">
        <x:v>Date Confidence</x:v>
      </x:c>
      <x:c r="V4" s="44" t="str">
        <x:v>Evidence / Notes</x:v>
      </x:c>
    </x:row>
    <x:row r="5">
      <x:c r="A5" s="19" t="n">
        <x:v>3</x:v>
      </x:c>
      <x:c r="B5" s="15" t="str">
        <x:v>APP-001</x:v>
      </x:c>
      <x:c r="C5" s="15" t="str">
        <x:v>AccountCheck</x:v>
      </x:c>
      <x:c r="D5" s="15" t="str">
        <x:v>Yes</x:v>
      </x:c>
      <x:c r="E5" s="15" t="str">
        <x:v>Service / Console App / Scheduled Task</x:v>
      </x:c>
      <x:c r="F5" s="15" t="str">
        <x:v>Legacy Sustainment</x:v>
      </x:c>
      <x:c r="G5" s="15" t="str">
        <x:v>Checks CyberArk AU-based safes for default passwords and logs results.</x:v>
      </x:c>
      <x:c r="H5" s="15" t="str">
        <x:v>Operations / eSAR account check team</x:v>
      </x:c>
      <x:c r="I5" s="15" t="str">
        <x:v>Internal support</x:v>
      </x:c>
      <x:c r="J5" s="15" t="str">
        <x:v>Yes</x:v>
      </x:c>
      <x:c r="K5" s="15" t="str">
        <x:v>Modernize / Consolidate into Unity</x:v>
      </x:c>
      <x:c r="L5" s="15" t="str">
        <x:v>BAU / vault-support review</x:v>
      </x:c>
      <x:c r="M5" s="15" t="str">
        <x:v>Medium</x:v>
      </x:c>
      <x:c r="N5" s="15" t="str">
        <x:v>Medium</x:v>
      </x:c>
      <x:c r="O5" s="15" t="str">
        <x:v>Low</x:v>
      </x:c>
      <x:c r="P5" s="15" t="str">
        <x:v>3-6 Months</x:v>
      </x:c>
      <x:c r="Q5" s="19" t="n">
        <x:f>IF(P5="1-2 Months",30,IF(P5="3-6 Months",90,IF(P5="7 Months-1 Year",180,IF(P5="2 sprints",20,IF(P5="5-6 sprints",50,"")))))</x:f>
        <x:v>90</x:v>
      </x:c>
      <x:c r="R5" s="15" t="str">
        <x:v>DTCX-2097</x:v>
      </x:c>
      <x:c r="S5" s="15" t="str">
        <x:v>TBD</x:v>
      </x:c>
      <x:c r="T5" s="15" t="str">
        <x:v>In Progress</x:v>
      </x:c>
      <x:c r="U5" s="15" t="str">
        <x:v>Medium</x:v>
      </x:c>
      <x:c r="V5" s="15" t="str">
        <x:v>Screenshot OCR: VM bridge and Unity migration discussed; validate safe-owner logic before move.</x:v>
      </x:c>
    </x:row>
    <x:row r="6">
      <x:c r="A6" s="19" t="n">
        <x:v>4</x:v>
      </x:c>
      <x:c r="B6" s="15" t="str">
        <x:v>APP-002</x:v>
      </x:c>
      <x:c r="C6" s="15" t="str">
        <x:v>ActivateAccount</x:v>
      </x:c>
      <x:c r="D6" s="15" t="str">
        <x:v>No</x:v>
      </x:c>
      <x:c r="E6" s="15" t="str">
        <x:v>Console App</x:v>
      </x:c>
      <x:c r="F6" s="15" t="str">
        <x:v>Legacy Sustainment</x:v>
      </x:c>
      <x:c r="G6" s="15" t="str">
        <x:v>Activates a provided CyberArk account from username/password input.</x:v>
      </x:c>
      <x:c r="H6" s="15" t="str">
        <x:v>Needs validation</x:v>
      </x:c>
      <x:c r="I6" s="15" t="str">
        <x:v>Internal support</x:v>
      </x:c>
      <x:c r="J6" s="15" t="str">
        <x:v>Yes</x:v>
      </x:c>
      <x:c r="K6" s="15" t="str">
        <x:v>Retire / No Active Move</x:v>
      </x:c>
      <x:c r="L6" s="15" t="str">
        <x:v>Deprecate</x:v>
      </x:c>
      <x:c r="M6" s="15" t="str">
        <x:v>Low</x:v>
      </x:c>
      <x:c r="N6" s="15" t="str">
        <x:v>Low</x:v>
      </x:c>
      <x:c r="O6" s="15" t="str">
        <x:v>Low</x:v>
      </x:c>
      <x:c r="P6" s="15" t="str">
        <x:v>No active move</x:v>
      </x:c>
      <x:c r="Q6" s="19" t="str">
        <x:f>IF(P6="1-2 Months",30,IF(P6="3-6 Months",90,IF(P6="7 Months-1 Year",180,IF(P6="2 sprints",20,IF(P6="5-6 sprints",50,"")))))</x:f>
      </x:c>
      <x:c r="R6" s="15" t="str"/>
      <x:c r="S6" s="15" t="str">
        <x:v>TBD</x:v>
      </x:c>
      <x:c r="T6" s="15" t="str">
        <x:v>Needs Validation</x:v>
      </x:c>
      <x:c r="U6" s="15" t="str">
        <x:v>Medium</x:v>
      </x:c>
      <x:c r="V6" s="15" t="str">
        <x:v>Screenshot OCR says not needed / inactive unless dependency discovered.</x:v>
      </x:c>
    </x:row>
    <x:row r="7">
      <x:c r="A7" s="19" t="n">
        <x:v>5</x:v>
      </x:c>
      <x:c r="B7" s="15" t="str">
        <x:v>APP-003</x:v>
      </x:c>
      <x:c r="C7" s="15" t="str">
        <x:v>BAUAccountAdd</x:v>
      </x:c>
      <x:c r="D7" s="15" t="str">
        <x:v>No</x:v>
      </x:c>
      <x:c r="E7" s="15" t="str">
        <x:v>Console App</x:v>
      </x:c>
      <x:c r="F7" s="15" t="str">
        <x:v>Legacy Sustainment</x:v>
      </x:c>
      <x:c r="G7" s="15" t="str">
        <x:v>Adds CyberArk accounts from CSV/text input and reconciles password after creation.</x:v>
      </x:c>
      <x:c r="H7" s="15" t="str">
        <x:v>Needs validation</x:v>
      </x:c>
      <x:c r="I7" s="15" t="str">
        <x:v>Internal support</x:v>
      </x:c>
      <x:c r="J7" s="15" t="str">
        <x:v>Yes</x:v>
      </x:c>
      <x:c r="K7" s="15" t="str">
        <x:v>Retire / No Active Move</x:v>
      </x:c>
      <x:c r="L7" s="15" t="str">
        <x:v>Deprecate</x:v>
      </x:c>
      <x:c r="M7" s="15" t="str">
        <x:v>Low</x:v>
      </x:c>
      <x:c r="N7" s="15" t="str">
        <x:v>Low</x:v>
      </x:c>
      <x:c r="O7" s="15" t="str">
        <x:v>Low</x:v>
      </x:c>
      <x:c r="P7" s="15" t="str">
        <x:v>No active move</x:v>
      </x:c>
      <x:c r="Q7" s="19" t="str">
        <x:f>IF(P7="1-2 Months",30,IF(P7="3-6 Months",90,IF(P7="7 Months-1 Year",180,IF(P7="2 sprints",20,IF(P7="5-6 sprints",50,"")))))</x:f>
      </x:c>
      <x:c r="R7" s="15" t="str"/>
      <x:c r="S7" s="15" t="str">
        <x:v>TBD</x:v>
      </x:c>
      <x:c r="T7" s="15" t="str">
        <x:v>Needs Validation</x:v>
      </x:c>
      <x:c r="U7" s="15" t="str">
        <x:v>Medium</x:v>
      </x:c>
      <x:c r="V7" s="15" t="str">
        <x:v>Appears associated with ESXi; verify no active dependency remains.</x:v>
      </x:c>
    </x:row>
    <x:row r="8">
      <x:c r="A8" s="19" t="n">
        <x:v>6</x:v>
      </x:c>
      <x:c r="B8" s="15" t="str">
        <x:v>APP-004</x:v>
      </x:c>
      <x:c r="C8" s="15" t="str">
        <x:v>BAUAccountDelete</x:v>
      </x:c>
      <x:c r="D8" s="15" t="str">
        <x:v>No</x:v>
      </x:c>
      <x:c r="E8" s="15" t="str">
        <x:v>Data Hygiene / Console App</x:v>
      </x:c>
      <x:c r="F8" s="15" t="str">
        <x:v>Legacy Sustainment</x:v>
      </x:c>
      <x:c r="G8" s="15" t="str">
        <x:v>Deletes matching CyberArk account records by address and safe name.</x:v>
      </x:c>
      <x:c r="H8" s="15" t="str">
        <x:v>Needs validation</x:v>
      </x:c>
      <x:c r="I8" s="15" t="str">
        <x:v>Internal support</x:v>
      </x:c>
      <x:c r="J8" s="15" t="str">
        <x:v>Yes</x:v>
      </x:c>
      <x:c r="K8" s="15" t="str">
        <x:v>Retire / No Active Move</x:v>
      </x:c>
      <x:c r="L8" s="15" t="str">
        <x:v>Deprecate</x:v>
      </x:c>
      <x:c r="M8" s="15" t="str">
        <x:v>Low</x:v>
      </x:c>
      <x:c r="N8" s="15" t="str">
        <x:v>Low</x:v>
      </x:c>
      <x:c r="O8" s="15" t="str">
        <x:v>Low</x:v>
      </x:c>
      <x:c r="P8" s="15" t="str">
        <x:v>No active move</x:v>
      </x:c>
      <x:c r="Q8" s="19" t="str">
        <x:f>IF(P8="1-2 Months",30,IF(P8="3-6 Months",90,IF(P8="7 Months-1 Year",180,IF(P8="2 sprints",20,IF(P8="5-6 sprints",50,"")))))</x:f>
      </x:c>
      <x:c r="R8" s="15" t="str"/>
      <x:c r="S8" s="15" t="str">
        <x:v>TBD</x:v>
      </x:c>
      <x:c r="T8" s="15" t="str">
        <x:v>Needs Validation</x:v>
      </x:c>
      <x:c r="U8" s="15" t="str">
        <x:v>Low</x:v>
      </x:c>
      <x:c r="V8" s="15" t="str">
        <x:v>Screenshot OCR incomplete; confirm before removing from scope.</x:v>
      </x:c>
    </x:row>
    <x:row r="9">
      <x:c r="A9" s="19" t="n">
        <x:v>7</x:v>
      </x:c>
      <x:c r="B9" s="15" t="str">
        <x:v>APP-005</x:v>
      </x:c>
      <x:c r="C9" s="15" t="str">
        <x:v>CSVSplit</x:v>
      </x:c>
      <x:c r="D9" s="15" t="str">
        <x:v>No</x:v>
      </x:c>
      <x:c r="E9" s="15" t="str">
        <x:v>Utility</x:v>
      </x:c>
      <x:c r="F9" s="15" t="str">
        <x:v>Legacy Sustainment</x:v>
      </x:c>
      <x:c r="G9" s="15" t="str">
        <x:v>Splits CSV input files for downstream processing.</x:v>
      </x:c>
      <x:c r="H9" s="15" t="str">
        <x:v>Needs validation</x:v>
      </x:c>
      <x:c r="I9" s="15" t="str">
        <x:v>Internal support</x:v>
      </x:c>
      <x:c r="J9" s="15" t="str">
        <x:v>No</x:v>
      </x:c>
      <x:c r="K9" s="15" t="str">
        <x:v>Retire / No Active Move</x:v>
      </x:c>
      <x:c r="L9" s="15" t="str">
        <x:v>Deprecate</x:v>
      </x:c>
      <x:c r="M9" s="15" t="str">
        <x:v>Low</x:v>
      </x:c>
      <x:c r="N9" s="15" t="str">
        <x:v>Low</x:v>
      </x:c>
      <x:c r="O9" s="15" t="str">
        <x:v>Low</x:v>
      </x:c>
      <x:c r="P9" s="15" t="str">
        <x:v>No active move</x:v>
      </x:c>
      <x:c r="Q9" s="19" t="str">
        <x:f>IF(P9="1-2 Months",30,IF(P9="3-6 Months",90,IF(P9="7 Months-1 Year",180,IF(P9="2 sprints",20,IF(P9="5-6 sprints",50,"")))))</x:f>
      </x:c>
      <x:c r="R9" s="15" t="str"/>
      <x:c r="S9" s="15" t="str">
        <x:v>TBD</x:v>
      </x:c>
      <x:c r="T9" s="15" t="str">
        <x:v>Needs Validation</x:v>
      </x:c>
      <x:c r="U9" s="15" t="str">
        <x:v>Medium</x:v>
      </x:c>
      <x:c r="V9" s="15" t="str">
        <x:v>Internal tool; confirm no active runtime dependency.</x:v>
      </x:c>
    </x:row>
    <x:row r="10">
      <x:c r="A10" s="19" t="n">
        <x:v>8</x:v>
      </x:c>
      <x:c r="B10" s="15" t="str">
        <x:v>APP-006</x:v>
      </x:c>
      <x:c r="C10" s="15" t="str">
        <x:v>EPVThreadTest</x:v>
      </x:c>
      <x:c r="D10" s="15" t="str">
        <x:v>No</x:v>
      </x:c>
      <x:c r="E10" s="15" t="str">
        <x:v>Testing</x:v>
      </x:c>
      <x:c r="F10" s="15" t="str">
        <x:v>Legacy Sustainment</x:v>
      </x:c>
      <x:c r="G10" s="15" t="str">
        <x:v>Internal test utility for EPV-related threading or validation.</x:v>
      </x:c>
      <x:c r="H10" s="15" t="str">
        <x:v>Needs validation</x:v>
      </x:c>
      <x:c r="I10" s="15" t="str">
        <x:v>Internal support</x:v>
      </x:c>
      <x:c r="J10" s="15" t="str">
        <x:v>Yes</x:v>
      </x:c>
      <x:c r="K10" s="15" t="str">
        <x:v>Retire / No Active Move</x:v>
      </x:c>
      <x:c r="L10" s="15" t="str">
        <x:v>Deprecate</x:v>
      </x:c>
      <x:c r="M10" s="15" t="str">
        <x:v>Low</x:v>
      </x:c>
      <x:c r="N10" s="15" t="str">
        <x:v>Low</x:v>
      </x:c>
      <x:c r="O10" s="15" t="str">
        <x:v>Low</x:v>
      </x:c>
      <x:c r="P10" s="15" t="str">
        <x:v>No active move</x:v>
      </x:c>
      <x:c r="Q10" s="19" t="str">
        <x:f>IF(P10="1-2 Months",30,IF(P10="3-6 Months",90,IF(P10="7 Months-1 Year",180,IF(P10="2 sprints",20,IF(P10="5-6 sprints",50,"")))))</x:f>
      </x:c>
      <x:c r="R10" s="15" t="str"/>
      <x:c r="S10" s="15" t="str">
        <x:v>TBD</x:v>
      </x:c>
      <x:c r="T10" s="15" t="str">
        <x:v>Needs Validation</x:v>
      </x:c>
      <x:c r="U10" s="15" t="str">
        <x:v>Medium</x:v>
      </x:c>
      <x:c r="V10" s="15" t="str">
        <x:v>Internal testing tool; verify no operational dependency.</x:v>
      </x:c>
    </x:row>
    <x:row r="11">
      <x:c r="A11" s="19" t="n">
        <x:v>9</x:v>
      </x:c>
      <x:c r="B11" s="15" t="str">
        <x:v>APP-007</x:v>
      </x:c>
      <x:c r="C11" s="15" t="str">
        <x:v>eSARDeleteService</x:v>
      </x:c>
      <x:c r="D11" s="15" t="str">
        <x:v>Needs review</x:v>
      </x:c>
      <x:c r="E11" s="15" t="str">
        <x:v>Data Hygiene / Console App</x:v>
      </x:c>
      <x:c r="F11" s="15" t="str">
        <x:v>Legacy Sustainment</x:v>
      </x:c>
      <x:c r="G11" s="15" t="str">
        <x:v>Deletes CyberArk accounts from a provided CSV file.</x:v>
      </x:c>
      <x:c r="H11" s="15" t="str">
        <x:v>eSAR / operations support</x:v>
      </x:c>
      <x:c r="I11" s="15" t="str">
        <x:v>Internal support</x:v>
      </x:c>
      <x:c r="J11" s="15" t="str">
        <x:v>Yes</x:v>
      </x:c>
      <x:c r="K11" s="15" t="str">
        <x:v>Assess First</x:v>
      </x:c>
      <x:c r="L11" s="15" t="str">
        <x:v>BAU / vault-support review</x:v>
      </x:c>
      <x:c r="M11" s="15" t="str">
        <x:v>Medium</x:v>
      </x:c>
      <x:c r="N11" s="15" t="str">
        <x:v>Medium</x:v>
      </x:c>
      <x:c r="O11" s="15" t="str">
        <x:v>Medium</x:v>
      </x:c>
      <x:c r="P11" s="15" t="str">
        <x:v>Needs estimate</x:v>
      </x:c>
      <x:c r="Q11" s="19" t="str">
        <x:f>IF(P11="1-2 Months",30,IF(P11="3-6 Months",90,IF(P11="7 Months-1 Year",180,IF(P11="2 sprints",20,IF(P11="5-6 sprints",50,"")))))</x:f>
      </x:c>
      <x:c r="R11" s="15" t="str"/>
      <x:c r="S11" s="15" t="str">
        <x:v>TBD</x:v>
      </x:c>
      <x:c r="T11" s="15" t="str">
        <x:v>Needs Validation</x:v>
      </x:c>
      <x:c r="U11" s="15" t="str">
        <x:v>Low</x:v>
      </x:c>
      <x:c r="V11" s="15" t="str">
        <x:v>May not be working if nobody is actively updating the CSV file.</x:v>
      </x:c>
    </x:row>
    <x:row r="12">
      <x:c r="A12" s="19" t="n">
        <x:v>10</x:v>
      </x:c>
      <x:c r="B12" s="15" t="str">
        <x:v>APP-008</x:v>
      </x:c>
      <x:c r="C12" s="15" t="str">
        <x:v>eSARMoveAccounts</x:v>
      </x:c>
      <x:c r="D12" s="15" t="str">
        <x:v>Yes</x:v>
      </x:c>
      <x:c r="E12" s="15" t="str">
        <x:v>Data Hygiene Utility / Console App</x:v>
      </x:c>
      <x:c r="F12" s="15" t="str">
        <x:v>Legacy Sustainment</x:v>
      </x:c>
      <x:c r="G12" s="15" t="str">
        <x:v>Moves accounts from one AU/safe context to another for account maintenance.</x:v>
      </x:c>
      <x:c r="H12" s="15" t="str">
        <x:v>Wayne / operations support</x:v>
      </x:c>
      <x:c r="I12" s="15" t="str">
        <x:v>Internal support</x:v>
      </x:c>
      <x:c r="J12" s="15" t="str">
        <x:v>Yes</x:v>
      </x:c>
      <x:c r="K12" s="15" t="str">
        <x:v>Modernize / Consolidate into Unity</x:v>
      </x:c>
      <x:c r="L12" s="15" t="str">
        <x:v>Phase 2</x:v>
      </x:c>
      <x:c r="M12" s="15" t="str">
        <x:v>Medium</x:v>
      </x:c>
      <x:c r="N12" s="15" t="str">
        <x:v>Medium</x:v>
      </x:c>
      <x:c r="O12" s="15" t="str">
        <x:v>Low</x:v>
      </x:c>
      <x:c r="P12" s="15" t="str">
        <x:v>3-6 Months</x:v>
      </x:c>
      <x:c r="Q12" s="19" t="n">
        <x:f>IF(P12="1-2 Months",30,IF(P12="3-6 Months",90,IF(P12="7 Months-1 Year",180,IF(P12="2 sprints",20,IF(P12="5-6 sprints",50,"")))))</x:f>
        <x:v>90</x:v>
      </x:c>
      <x:c r="R12" s="15" t="str">
        <x:v>DTCX-2098</x:v>
      </x:c>
      <x:c r="S12" s="15" t="str">
        <x:v>TBD</x:v>
      </x:c>
      <x:c r="T12" s="15" t="str">
        <x:v>In Progress</x:v>
      </x:c>
      <x:c r="U12" s="15" t="str">
        <x:v>Medium</x:v>
      </x:c>
      <x:c r="V12" s="15" t="str">
        <x:v>Potential duplicate-check issue; verify with integrations before move.</x:v>
      </x:c>
    </x:row>
    <x:row r="13">
      <x:c r="A13" s="19" t="n">
        <x:v>11</x:v>
      </x:c>
      <x:c r="B13" s="15" t="str">
        <x:v>APP-009</x:v>
      </x:c>
      <x:c r="C13" s="15" t="str">
        <x:v>esarBulkImportService (eSARImportService)</x:v>
      </x:c>
      <x:c r="D13" s="15" t="str">
        <x:v>Yes</x:v>
      </x:c>
      <x:c r="E13" s="15" t="str">
        <x:v>Service</x:v>
      </x:c>
      <x:c r="F13" s="15" t="str">
        <x:v>Legacy Sustainment</x:v>
      </x:c>
      <x:c r="G13" s="15" t="str">
        <x:v>Pulls a CSV file and imports accounts into CyberArk.</x:v>
      </x:c>
      <x:c r="H13" s="15" t="str">
        <x:v>eSAR / operations support</x:v>
      </x:c>
      <x:c r="I13" s="15" t="str">
        <x:v>Internal support</x:v>
      </x:c>
      <x:c r="J13" s="15" t="str">
        <x:v>Yes</x:v>
      </x:c>
      <x:c r="K13" s="15" t="str">
        <x:v>Modernize / Consolidate into Unity</x:v>
      </x:c>
      <x:c r="L13" s="15" t="str">
        <x:v>Phase 1 candidate</x:v>
      </x:c>
      <x:c r="M13" s="15" t="str">
        <x:v>High</x:v>
      </x:c>
      <x:c r="N13" s="15" t="str">
        <x:v>High</x:v>
      </x:c>
      <x:c r="O13" s="15" t="str">
        <x:v>Medium</x:v>
      </x:c>
      <x:c r="P13" s="15" t="str">
        <x:v>Needs estimate</x:v>
      </x:c>
      <x:c r="Q13" s="19" t="str">
        <x:f>IF(P13="1-2 Months",30,IF(P13="3-6 Months",90,IF(P13="7 Months-1 Year",180,IF(P13="2 sprints",20,IF(P13="5-6 sprints",50,"")))))</x:f>
      </x:c>
      <x:c r="R13" s="15" t="str"/>
      <x:c r="S13" s="15" t="str">
        <x:v>TBD</x:v>
      </x:c>
      <x:c r="T13" s="15" t="str">
        <x:v>Needs Validation</x:v>
      </x:c>
      <x:c r="U13" s="15" t="str">
        <x:v>Medium</x:v>
      </x:c>
      <x:c r="V13" s="15" t="str">
        <x:v>Likely onboarding capability; validate whether it is required for day-one continuity.</x:v>
      </x:c>
    </x:row>
    <x:row r="14">
      <x:c r="A14" s="19" t="n">
        <x:v>12</x:v>
      </x:c>
      <x:c r="B14" s="15" t="str">
        <x:v>APP-010</x:v>
      </x:c>
      <x:c r="C14" s="15" t="str">
        <x:v>esarBulkImportConsole (eSARImport)</x:v>
      </x:c>
      <x:c r="D14" s="15" t="str">
        <x:v>Yes</x:v>
      </x:c>
      <x:c r="E14" s="15" t="str">
        <x:v>Console App</x:v>
      </x:c>
      <x:c r="F14" s="15" t="str">
        <x:v>Legacy Sustainment</x:v>
      </x:c>
      <x:c r="G14" s="15" t="str">
        <x:v>Console version of the eSAR bulk import workflow.</x:v>
      </x:c>
      <x:c r="H14" s="15" t="str">
        <x:v>eSAR / operations support</x:v>
      </x:c>
      <x:c r="I14" s="15" t="str">
        <x:v>Internal support</x:v>
      </x:c>
      <x:c r="J14" s="15" t="str">
        <x:v>Yes</x:v>
      </x:c>
      <x:c r="K14" s="15" t="str">
        <x:v>Fold into Unity / Merge with service</x:v>
      </x:c>
      <x:c r="L14" s="15" t="str">
        <x:v>Phase 2</x:v>
      </x:c>
      <x:c r="M14" s="15" t="str">
        <x:v>Medium</x:v>
      </x:c>
      <x:c r="N14" s="15" t="str">
        <x:v>Medium</x:v>
      </x:c>
      <x:c r="O14" s="15" t="str">
        <x:v>Medium</x:v>
      </x:c>
      <x:c r="P14" s="15" t="str">
        <x:v>Needs estimate</x:v>
      </x:c>
      <x:c r="Q14" s="19" t="str">
        <x:f>IF(P14="1-2 Months",30,IF(P14="3-6 Months",90,IF(P14="7 Months-1 Year",180,IF(P14="2 sprints",20,IF(P14="5-6 sprints",50,"")))))</x:f>
      </x:c>
      <x:c r="R14" s="15" t="str">
        <x:v>DTCX-2100</x:v>
      </x:c>
      <x:c r="S14" s="15" t="str">
        <x:v>TBD</x:v>
      </x:c>
      <x:c r="T14" s="15" t="str">
        <x:v>Needs Validation</x:v>
      </x:c>
      <x:c r="U14" s="15" t="str">
        <x:v>Medium</x:v>
      </x:c>
      <x:c r="V14" s="15" t="str">
        <x:v>Appears redundant with service; screenshot noted VM bridge / cron job path.</x:v>
      </x:c>
    </x:row>
    <x:row r="15">
      <x:c r="A15" s="19" t="n">
        <x:v>13</x:v>
      </x:c>
      <x:c r="B15" s="15" t="str">
        <x:v>APP-011</x:v>
      </x:c>
      <x:c r="C15" s="15" t="str">
        <x:v>ExtraPass3AccountFix</x:v>
      </x:c>
      <x:c r="D15" s="15" t="str">
        <x:v>No</x:v>
      </x:c>
      <x:c r="E15" s="15" t="str">
        <x:v>Console App</x:v>
      </x:c>
      <x:c r="F15" s="15" t="str">
        <x:v>Legacy Sustainment</x:v>
      </x:c>
      <x:c r="G15" s="15" t="str">
        <x:v>Legacy account fix utility with no current code association found.</x:v>
      </x:c>
      <x:c r="H15" s="15" t="str">
        <x:v>Needs validation</x:v>
      </x:c>
      <x:c r="I15" s="15" t="str">
        <x:v>Internal support</x:v>
      </x:c>
      <x:c r="J15" s="15" t="str">
        <x:v>Yes</x:v>
      </x:c>
      <x:c r="K15" s="15" t="str">
        <x:v>Retire / No Active Move</x:v>
      </x:c>
      <x:c r="L15" s="15" t="str">
        <x:v>Deprecate</x:v>
      </x:c>
      <x:c r="M15" s="15" t="str">
        <x:v>Low</x:v>
      </x:c>
      <x:c r="N15" s="15" t="str">
        <x:v>Low</x:v>
      </x:c>
      <x:c r="O15" s="15" t="str">
        <x:v>Low</x:v>
      </x:c>
      <x:c r="P15" s="15" t="str">
        <x:v>No active move</x:v>
      </x:c>
      <x:c r="Q15" s="19" t="str">
        <x:f>IF(P15="1-2 Months",30,IF(P15="3-6 Months",90,IF(P15="7 Months-1 Year",180,IF(P15="2 sprints",20,IF(P15="5-6 sprints",50,"")))))</x:f>
      </x:c>
      <x:c r="R15" s="15" t="str"/>
      <x:c r="S15" s="15" t="str">
        <x:v>TBD</x:v>
      </x:c>
      <x:c r="T15" s="15" t="str">
        <x:v>Needs Validation</x:v>
      </x:c>
      <x:c r="U15" s="15" t="str">
        <x:v>Medium</x:v>
      </x:c>
      <x:c r="V15" s="15" t="str">
        <x:v>No active dependency found in screenshot OCR.</x:v>
      </x:c>
    </x:row>
    <x:row r="16">
      <x:c r="A16" s="19" t="n">
        <x:v>14</x:v>
      </x:c>
      <x:c r="B16" s="15" t="str">
        <x:v>APP-012</x:v>
      </x:c>
      <x:c r="C16" s="15" t="str">
        <x:v>iSeriesAccountImport</x:v>
      </x:c>
      <x:c r="D16" s="15" t="str">
        <x:v>Yes</x:v>
      </x:c>
      <x:c r="E16" s="15" t="str">
        <x:v>Console App</x:v>
      </x:c>
      <x:c r="F16" s="15" t="str">
        <x:v>Legacy Sustainment</x:v>
      </x:c>
      <x:c r="G16" s="15" t="str">
        <x:v>Onboards iSeries accounts into EPV.</x:v>
      </x:c>
      <x:c r="H16" s="15" t="str">
        <x:v>Tanya team / operations</x:v>
      </x:c>
      <x:c r="I16" s="15" t="str">
        <x:v>User-facing support</x:v>
      </x:c>
      <x:c r="J16" s="15" t="str">
        <x:v>Yes</x:v>
      </x:c>
      <x:c r="K16" s="15" t="str">
        <x:v>Modernize / Consolidate into Unity</x:v>
      </x:c>
      <x:c r="L16" s="15" t="str">
        <x:v>Phase 1 candidate</x:v>
      </x:c>
      <x:c r="M16" s="15" t="str">
        <x:v>High</x:v>
      </x:c>
      <x:c r="N16" s="15" t="str">
        <x:v>Medium</x:v>
      </x:c>
      <x:c r="O16" s="15" t="str">
        <x:v>Medium</x:v>
      </x:c>
      <x:c r="P16" s="15" t="str">
        <x:v>Needs estimate</x:v>
      </x:c>
      <x:c r="Q16" s="19" t="str">
        <x:f>IF(P16="1-2 Months",30,IF(P16="3-6 Months",90,IF(P16="7 Months-1 Year",180,IF(P16="2 sprints",20,IF(P16="5-6 sprints",50,"")))))</x:f>
      </x:c>
      <x:c r="R16" s="15" t="str"/>
      <x:c r="S16" s="15" t="str">
        <x:v>TBD</x:v>
      </x:c>
      <x:c r="T16" s="15" t="str">
        <x:v>Needs Validation</x:v>
      </x:c>
      <x:c r="U16" s="15" t="str">
        <x:v>Medium</x:v>
      </x:c>
      <x:c r="V16" s="15" t="str">
        <x:v>Onboarding function; classify for phase-one if operational continuity depends on it.</x:v>
      </x:c>
    </x:row>
    <x:row r="17">
      <x:c r="A17" s="19" t="n">
        <x:v>15</x:v>
      </x:c>
      <x:c r="B17" s="15" t="str">
        <x:v>APP-013</x:v>
      </x:c>
      <x:c r="C17" s="15" t="str">
        <x:v>iSeries</x:v>
      </x:c>
      <x:c r="D17" s="15" t="str">
        <x:v>Yes</x:v>
      </x:c>
      <x:c r="E17" s="15" t="str">
        <x:v>Utility / Script</x:v>
      </x:c>
      <x:c r="F17" s="15" t="str">
        <x:v>Legacy Sustainment</x:v>
      </x:c>
      <x:c r="G17" s="15" t="str">
        <x:v>Queries EPV reporting DB inventory and activity reports and sends CSV output to mainframe.</x:v>
      </x:c>
      <x:c r="H17" s="15" t="str">
        <x:v>Mainframe / reporting consumers</x:v>
      </x:c>
      <x:c r="I17" s="15" t="str">
        <x:v>Internal support</x:v>
      </x:c>
      <x:c r="J17" s="15" t="str">
        <x:v>Yes</x:v>
      </x:c>
      <x:c r="K17" s="15" t="str">
        <x:v>Modernize / Consolidate into Unity</x:v>
      </x:c>
      <x:c r="L17" s="15" t="str">
        <x:v>Phase 2</x:v>
      </x:c>
      <x:c r="M17" s="15" t="str">
        <x:v>Medium</x:v>
      </x:c>
      <x:c r="N17" s="15" t="str">
        <x:v>Medium</x:v>
      </x:c>
      <x:c r="O17" s="15" t="str">
        <x:v>Medium</x:v>
      </x:c>
      <x:c r="P17" s="15" t="str">
        <x:v>Needs estimate</x:v>
      </x:c>
      <x:c r="Q17" s="19" t="str">
        <x:f>IF(P17="1-2 Months",30,IF(P17="3-6 Months",90,IF(P17="7 Months-1 Year",180,IF(P17="2 sprints",20,IF(P17="5-6 sprints",50,"")))))</x:f>
      </x:c>
      <x:c r="R17" s="15" t="str"/>
      <x:c r="S17" s="15" t="str">
        <x:v>TBD</x:v>
      </x:c>
      <x:c r="T17" s="15" t="str">
        <x:v>Needs Validation</x:v>
      </x:c>
      <x:c r="U17" s="15" t="str">
        <x:v>Medium</x:v>
      </x:c>
      <x:c r="V17" s="15" t="str">
        <x:v>Reporting utility; confirm customer/team dependency.</x:v>
      </x:c>
    </x:row>
    <x:row r="18">
      <x:c r="A18" s="19" t="n">
        <x:v>16</x:v>
      </x:c>
      <x:c r="B18" s="15" t="str">
        <x:v>APP-014</x:v>
      </x:c>
      <x:c r="C18" s="15" t="str">
        <x:v>SafeName/PolicyID Discrepancies</x:v>
      </x:c>
      <x:c r="D18" s="15" t="str">
        <x:v>Yes</x:v>
      </x:c>
      <x:c r="E18" s="15" t="str">
        <x:v>Internal Service</x:v>
      </x:c>
      <x:c r="F18" s="15" t="str">
        <x:v>Legacy Sustainment</x:v>
      </x:c>
      <x:c r="G18" s="15" t="str">
        <x:v>Weekly check that policy names match safe names and logs/audits discrepancies.</x:v>
      </x:c>
      <x:c r="H18" s="15" t="str">
        <x:v>Operations / audit</x:v>
      </x:c>
      <x:c r="I18" s="15" t="str">
        <x:v>Internal support</x:v>
      </x:c>
      <x:c r="J18" s="15" t="str">
        <x:v>Yes</x:v>
      </x:c>
      <x:c r="K18" s="15" t="str">
        <x:v>Modernize / Consolidate into Unity</x:v>
      </x:c>
      <x:c r="L18" s="15" t="str">
        <x:v>Phase 2</x:v>
      </x:c>
      <x:c r="M18" s="15" t="str">
        <x:v>Medium</x:v>
      </x:c>
      <x:c r="N18" s="15" t="str">
        <x:v>Medium</x:v>
      </x:c>
      <x:c r="O18" s="15" t="str">
        <x:v>Medium</x:v>
      </x:c>
      <x:c r="P18" s="15" t="str">
        <x:v>Needs estimate</x:v>
      </x:c>
      <x:c r="Q18" s="19" t="str">
        <x:f>IF(P18="1-2 Months",30,IF(P18="3-6 Months",90,IF(P18="7 Months-1 Year",180,IF(P18="2 sprints",20,IF(P18="5-6 sprints",50,"")))))</x:f>
      </x:c>
      <x:c r="R18" s="15" t="str">
        <x:v>DTCX-2102</x:v>
      </x:c>
      <x:c r="S18" s="15" t="str">
        <x:v>TBD</x:v>
      </x:c>
      <x:c r="T18" s="15" t="str">
        <x:v>Needs Validation</x:v>
      </x:c>
      <x:c r="U18" s="15" t="str">
        <x:v>Medium</x:v>
      </x:c>
      <x:c r="V18" s="15" t="str">
        <x:v>Control/audit-related; may be required for NFR or compliance evidence.</x:v>
      </x:c>
    </x:row>
    <x:row r="19">
      <x:c r="A19" s="19" t="n">
        <x:v>17</x:v>
      </x:c>
      <x:c r="B19" s="15" t="str">
        <x:v>APP-015</x:v>
      </x:c>
      <x:c r="C19" s="15" t="str">
        <x:v>PasswordUpdate</x:v>
      </x:c>
      <x:c r="D19" s="15" t="str">
        <x:v>No</x:v>
      </x:c>
      <x:c r="E19" s="15" t="str">
        <x:v>Console App</x:v>
      </x:c>
      <x:c r="F19" s="15" t="str">
        <x:v>Legacy Sustainment</x:v>
      </x:c>
      <x:c r="G19" s="15" t="str">
        <x:v>Password update or failed-rotation support utility.</x:v>
      </x:c>
      <x:c r="H19" s="15" t="str">
        <x:v>Needs validation</x:v>
      </x:c>
      <x:c r="I19" s="15" t="str">
        <x:v>Internal support</x:v>
      </x:c>
      <x:c r="J19" s="15" t="str">
        <x:v>Yes</x:v>
      </x:c>
      <x:c r="K19" s="15" t="str">
        <x:v>Retire / No Active Move</x:v>
      </x:c>
      <x:c r="L19" s="15" t="str">
        <x:v>Deprecate</x:v>
      </x:c>
      <x:c r="M19" s="15" t="str">
        <x:v>Low</x:v>
      </x:c>
      <x:c r="N19" s="15" t="str">
        <x:v>Low</x:v>
      </x:c>
      <x:c r="O19" s="15" t="str">
        <x:v>Low</x:v>
      </x:c>
      <x:c r="P19" s="15" t="str">
        <x:v>No active move</x:v>
      </x:c>
      <x:c r="Q19" s="19" t="str">
        <x:f>IF(P19="1-2 Months",30,IF(P19="3-6 Months",90,IF(P19="7 Months-1 Year",180,IF(P19="2 sprints",20,IF(P19="5-6 sprints",50,"")))))</x:f>
      </x:c>
      <x:c r="R19" s="15" t="str"/>
      <x:c r="S19" s="15" t="str">
        <x:v>TBD</x:v>
      </x:c>
      <x:c r="T19" s="15" t="str">
        <x:v>Needs Validation</x:v>
      </x:c>
      <x:c r="U19" s="15" t="str">
        <x:v>Low</x:v>
      </x:c>
      <x:c r="V19" s="15" t="str">
        <x:v>Screenshot OCR unclear; confirm no active operational use.</x:v>
      </x:c>
    </x:row>
    <x:row r="20">
      <x:c r="A20" s="19" t="n">
        <x:v>18</x:v>
      </x:c>
      <x:c r="B20" s="15" t="str">
        <x:v>APP-016</x:v>
      </x:c>
      <x:c r="C20" s="15" t="str">
        <x:v>PersonalAccountDelete</x:v>
      </x:c>
      <x:c r="D20" s="15" t="str">
        <x:v>Yes</x:v>
      </x:c>
      <x:c r="E20" s="15" t="str">
        <x:v>Utility</x:v>
      </x:c>
      <x:c r="F20" s="15" t="str">
        <x:v>Legacy Sustainment</x:v>
      </x:c>
      <x:c r="G20" s="15" t="str">
        <x:v>Processes failed password rotation accounts and deletes accounts when associated AD user no longer exists.</x:v>
      </x:c>
      <x:c r="H20" s="15" t="str">
        <x:v>Operations / PA support</x:v>
      </x:c>
      <x:c r="I20" s="15" t="str">
        <x:v>Internal support</x:v>
      </x:c>
      <x:c r="J20" s="15" t="str">
        <x:v>Yes</x:v>
      </x:c>
      <x:c r="K20" s="15" t="str">
        <x:v>Modernize / Consolidate into Unity</x:v>
      </x:c>
      <x:c r="L20" s="15" t="str">
        <x:v>Phase 1 candidate</x:v>
      </x:c>
      <x:c r="M20" s="15" t="str">
        <x:v>High</x:v>
      </x:c>
      <x:c r="N20" s="15" t="str">
        <x:v>Medium</x:v>
      </x:c>
      <x:c r="O20" s="15" t="str">
        <x:v>Medium</x:v>
      </x:c>
      <x:c r="P20" s="15" t="str">
        <x:v>3-6 Months</x:v>
      </x:c>
      <x:c r="Q20" s="19" t="n">
        <x:f>IF(P20="1-2 Months",30,IF(P20="3-6 Months",90,IF(P20="7 Months-1 Year",180,IF(P20="2 sprints",20,IF(P20="5-6 sprints",50,"")))))</x:f>
        <x:v>90</x:v>
      </x:c>
      <x:c r="R20" s="15" t="str"/>
      <x:c r="S20" s="15" t="str">
        <x:v>TBD</x:v>
      </x:c>
      <x:c r="T20" s="15" t="str">
        <x:v>Needs Validation</x:v>
      </x:c>
      <x:c r="U20" s="15" t="str">
        <x:v>Medium</x:v>
      </x:c>
      <x:c r="V20" s="15" t="str">
        <x:v>Ongoing PA hygiene; likely operationally important.</x:v>
      </x:c>
    </x:row>
    <x:row r="21">
      <x:c r="A21" s="19" t="n">
        <x:v>19</x:v>
      </x:c>
      <x:c r="B21" s="15" t="str">
        <x:v>APP-017</x:v>
      </x:c>
      <x:c r="C21" s="15" t="str">
        <x:v>PersonalAccountImport</x:v>
      </x:c>
      <x:c r="D21" s="15" t="str">
        <x:v>Yes</x:v>
      </x:c>
      <x:c r="E21" s="15" t="str">
        <x:v>Utility / Console App</x:v>
      </x:c>
      <x:c r="F21" s="15" t="str">
        <x:v>Legacy Sustainment</x:v>
      </x:c>
      <x:c r="G21" s="15" t="str">
        <x:v>Imports personal accounts and safes into CyberArk from a provided CSV file.</x:v>
      </x:c>
      <x:c r="H21" s="15" t="str">
        <x:v>EPV integrations / PA support</x:v>
      </x:c>
      <x:c r="I21" s="15" t="str">
        <x:v>User-facing support</x:v>
      </x:c>
      <x:c r="J21" s="15" t="str">
        <x:v>Yes</x:v>
      </x:c>
      <x:c r="K21" s="15" t="str">
        <x:v>Modernize / Consolidate into Unity</x:v>
      </x:c>
      <x:c r="L21" s="15" t="str">
        <x:v>Phase 1 candidate</x:v>
      </x:c>
      <x:c r="M21" s="15" t="str">
        <x:v>High</x:v>
      </x:c>
      <x:c r="N21" s="15" t="str">
        <x:v>Medium</x:v>
      </x:c>
      <x:c r="O21" s="15" t="str">
        <x:v>Medium</x:v>
      </x:c>
      <x:c r="P21" s="15" t="str">
        <x:v>1-2 Months</x:v>
      </x:c>
      <x:c r="Q21" s="19" t="n">
        <x:f>IF(P21="1-2 Months",30,IF(P21="3-6 Months",90,IF(P21="7 Months-1 Year",180,IF(P21="2 sprints",20,IF(P21="5-6 sprints",50,"")))))</x:f>
        <x:v>30</x:v>
      </x:c>
      <x:c r="R21" s="15" t="str"/>
      <x:c r="S21" s="15" t="str">
        <x:v>TBD</x:v>
      </x:c>
      <x:c r="T21" s="15" t="str">
        <x:v>Needs Validation</x:v>
      </x:c>
      <x:c r="U21" s="15" t="str">
        <x:v>Medium</x:v>
      </x:c>
      <x:c r="V21" s="15" t="str">
        <x:v>Onboarding function; validate current usage and owner.</x:v>
      </x:c>
    </x:row>
    <x:row r="22">
      <x:c r="A22" s="19" t="n">
        <x:v>20</x:v>
      </x:c>
      <x:c r="B22" s="15" t="str">
        <x:v>APP-018</x:v>
      </x:c>
      <x:c r="C22" s="15" t="str">
        <x:v>PersonalAccountImportDLL</x:v>
      </x:c>
      <x:c r="D22" s="15" t="str">
        <x:v>Yes</x:v>
      </x:c>
      <x:c r="E22" s="15" t="str">
        <x:v>DLL / Shared Library</x:v>
      </x:c>
      <x:c r="F22" s="15" t="str">
        <x:v>Legacy Sustainment</x:v>
      </x:c>
      <x:c r="G22" s="15" t="str">
        <x:v>Helper classes used by PersonalAccountImport.</x:v>
      </x:c>
      <x:c r="H22" s="15" t="str">
        <x:v>PersonalAccountImport</x:v>
      </x:c>
      <x:c r="I22" s="15" t="str">
        <x:v>Internal support</x:v>
      </x:c>
      <x:c r="J22" s="15" t="str">
        <x:v>No</x:v>
      </x:c>
      <x:c r="K22" s="15" t="str">
        <x:v>Fold into Unity / Shared Library</x:v>
      </x:c>
      <x:c r="L22" s="15" t="str">
        <x:v>BAU / vault-support review</x:v>
      </x:c>
      <x:c r="M22" s="15" t="str">
        <x:v>Medium</x:v>
      </x:c>
      <x:c r="N22" s="15" t="str">
        <x:v>Medium</x:v>
      </x:c>
      <x:c r="O22" s="15" t="str">
        <x:v>Medium</x:v>
      </x:c>
      <x:c r="P22" s="15" t="str">
        <x:v>1-2 Months</x:v>
      </x:c>
      <x:c r="Q22" s="19" t="n">
        <x:f>IF(P22="1-2 Months",30,IF(P22="3-6 Months",90,IF(P22="7 Months-1 Year",180,IF(P22="2 sprints",20,IF(P22="5-6 sprints",50,"")))))</x:f>
        <x:v>30</x:v>
      </x:c>
      <x:c r="R22" s="15" t="str"/>
      <x:c r="S22" s="15" t="str">
        <x:v>TBD</x:v>
      </x:c>
      <x:c r="T22" s="15" t="str">
        <x:v>Needs Validation</x:v>
      </x:c>
      <x:c r="U22" s="15" t="str">
        <x:v>Medium</x:v>
      </x:c>
      <x:c r="V22" s="15" t="str">
        <x:v>Not modernized like a standalone app; rationalize as supporting component.</x:v>
      </x:c>
    </x:row>
    <x:row r="23">
      <x:c r="A23" s="19" t="n">
        <x:v>21</x:v>
      </x:c>
      <x:c r="B23" s="15" t="str">
        <x:v>APP-019</x:v>
      </x:c>
      <x:c r="C23" s="15" t="str">
        <x:v>PersonalAccountImportExclusionsService</x:v>
      </x:c>
      <x:c r="D23" s="15" t="str">
        <x:v>Yes</x:v>
      </x:c>
      <x:c r="E23" s="15" t="str">
        <x:v>Utility / Service</x:v>
      </x:c>
      <x:c r="F23" s="15" t="str">
        <x:v>Legacy Sustainment</x:v>
      </x:c>
      <x:c r="G23" s="15" t="str">
        <x:v>Pulls personal accounts from a Tableau dashboard and filters excluded accounts before import.</x:v>
      </x:c>
      <x:c r="H23" s="15" t="str">
        <x:v>PA exclusion service / CA related</x:v>
      </x:c>
      <x:c r="I23" s="15" t="str">
        <x:v>Internal support</x:v>
      </x:c>
      <x:c r="J23" s="15" t="str">
        <x:v>Yes</x:v>
      </x:c>
      <x:c r="K23" s="15" t="str">
        <x:v>Modernize / Consolidate into Unity</x:v>
      </x:c>
      <x:c r="L23" s="15" t="str">
        <x:v>Phase 1 candidate</x:v>
      </x:c>
      <x:c r="M23" s="15" t="str">
        <x:v>High</x:v>
      </x:c>
      <x:c r="N23" s="15" t="str">
        <x:v>Medium</x:v>
      </x:c>
      <x:c r="O23" s="15" t="str">
        <x:v>Medium</x:v>
      </x:c>
      <x:c r="P23" s="15" t="str">
        <x:v>Needs estimate</x:v>
      </x:c>
      <x:c r="Q23" s="19" t="str">
        <x:f>IF(P23="1-2 Months",30,IF(P23="3-6 Months",90,IF(P23="7 Months-1 Year",180,IF(P23="2 sprints",20,IF(P23="5-6 sprints",50,"")))))</x:f>
      </x:c>
      <x:c r="R23" s="15" t="str"/>
      <x:c r="S23" s="15" t="str">
        <x:v>TBD</x:v>
      </x:c>
      <x:c r="T23" s="15" t="str">
        <x:v>Needs Validation</x:v>
      </x:c>
      <x:c r="U23" s="15" t="str">
        <x:v>Medium</x:v>
      </x:c>
      <x:c r="V23" s="15" t="str">
        <x:v>CA-related onboarding support; validate source dashboard dependency.</x:v>
      </x:c>
    </x:row>
    <x:row r="24">
      <x:c r="A24" s="19" t="n">
        <x:v>22</x:v>
      </x:c>
      <x:c r="B24" s="15" t="str">
        <x:v>APP-020</x:v>
      </x:c>
      <x:c r="C24" s="15" t="str">
        <x:v>PersonalAccountImportService</x:v>
      </x:c>
      <x:c r="D24" s="15" t="str">
        <x:v>Yes</x:v>
      </x:c>
      <x:c r="E24" s="15" t="str">
        <x:v>Utility / Service</x:v>
      </x:c>
      <x:c r="F24" s="15" t="str">
        <x:v>Legacy Sustainment</x:v>
      </x:c>
      <x:c r="G24" s="15" t="str">
        <x:v>Imports CSV provided by PA Exclusion Service and onboards accounts.</x:v>
      </x:c>
      <x:c r="H24" s="15" t="str">
        <x:v>PA support</x:v>
      </x:c>
      <x:c r="I24" s="15" t="str">
        <x:v>User-facing support</x:v>
      </x:c>
      <x:c r="J24" s="15" t="str">
        <x:v>Yes</x:v>
      </x:c>
      <x:c r="K24" s="15" t="str">
        <x:v>Modernize / Consolidate into Unity</x:v>
      </x:c>
      <x:c r="L24" s="15" t="str">
        <x:v>Phase 1 candidate</x:v>
      </x:c>
      <x:c r="M24" s="15" t="str">
        <x:v>High</x:v>
      </x:c>
      <x:c r="N24" s="15" t="str">
        <x:v>Medium</x:v>
      </x:c>
      <x:c r="O24" s="15" t="str">
        <x:v>Medium</x:v>
      </x:c>
      <x:c r="P24" s="15" t="str">
        <x:v>Needs estimate</x:v>
      </x:c>
      <x:c r="Q24" s="19" t="str">
        <x:f>IF(P24="1-2 Months",30,IF(P24="3-6 Months",90,IF(P24="7 Months-1 Year",180,IF(P24="2 sprints",20,IF(P24="5-6 sprints",50,"")))))</x:f>
      </x:c>
      <x:c r="R24" s="15" t="str"/>
      <x:c r="S24" s="15" t="str">
        <x:v>TBD</x:v>
      </x:c>
      <x:c r="T24" s="15" t="str">
        <x:v>Needs Validation</x:v>
      </x:c>
      <x:c r="U24" s="15" t="str">
        <x:v>Medium</x:v>
      </x:c>
      <x:c r="V24" s="15" t="str">
        <x:v>Likely paired with PA exclusion service.</x:v>
      </x:c>
    </x:row>
    <x:row r="25">
      <x:c r="A25" s="19" t="n">
        <x:v>23</x:v>
      </x:c>
      <x:c r="B25" s="15" t="str">
        <x:v>APP-021</x:v>
      </x:c>
      <x:c r="C25" s="15" t="str">
        <x:v>ReconcileAccounts</x:v>
      </x:c>
      <x:c r="D25" s="15" t="str">
        <x:v>Maybe</x:v>
      </x:c>
      <x:c r="E25" s="15" t="str">
        <x:v>Utility / Console App</x:v>
      </x:c>
      <x:c r="F25" s="15" t="str">
        <x:v>Legacy Sustainment</x:v>
      </x:c>
      <x:c r="G25" s="15" t="str">
        <x:v>Processes CyberArk accounts from CSV and reconciles accounts.</x:v>
      </x:c>
      <x:c r="H25" s="15" t="str">
        <x:v>Operations</x:v>
      </x:c>
      <x:c r="I25" s="15" t="str">
        <x:v>Internal support</x:v>
      </x:c>
      <x:c r="J25" s="15" t="str">
        <x:v>Yes</x:v>
      </x:c>
      <x:c r="K25" s="15" t="str">
        <x:v>Assess First</x:v>
      </x:c>
      <x:c r="L25" s="15" t="str">
        <x:v>BAU / vault-support review</x:v>
      </x:c>
      <x:c r="M25" s="15" t="str">
        <x:v>Medium</x:v>
      </x:c>
      <x:c r="N25" s="15" t="str">
        <x:v>Medium</x:v>
      </x:c>
      <x:c r="O25" s="15" t="str">
        <x:v>Medium</x:v>
      </x:c>
      <x:c r="P25" s="15" t="str">
        <x:v>Needs estimate</x:v>
      </x:c>
      <x:c r="Q25" s="19" t="str">
        <x:f>IF(P25="1-2 Months",30,IF(P25="3-6 Months",90,IF(P25="7 Months-1 Year",180,IF(P25="2 sprints",20,IF(P25="5-6 sprints",50,"")))))</x:f>
      </x:c>
      <x:c r="R25" s="15" t="str"/>
      <x:c r="S25" s="15" t="str">
        <x:v>TBD</x:v>
      </x:c>
      <x:c r="T25" s="15" t="str">
        <x:v>Needs Validation</x:v>
      </x:c>
      <x:c r="U25" s="15" t="str">
        <x:v>Medium</x:v>
      </x:c>
      <x:c r="V25" s="15" t="str">
        <x:v>Determine whether still required after Unity/vault migration sequencing.</x:v>
      </x:c>
    </x:row>
    <x:row r="26">
      <x:c r="A26" s="19" t="n">
        <x:v>24</x:v>
      </x:c>
      <x:c r="B26" s="15" t="str">
        <x:v>APP-022</x:v>
      </x:c>
      <x:c r="C26" s="15" t="str">
        <x:v>RotatePasswords</x:v>
      </x:c>
      <x:c r="D26" s="15" t="str">
        <x:v>Maybe</x:v>
      </x:c>
      <x:c r="E26" s="15" t="str">
        <x:v>Utility / Console App</x:v>
      </x:c>
      <x:c r="F26" s="15" t="str">
        <x:v>Legacy Sustainment</x:v>
      </x:c>
      <x:c r="G26" s="15" t="str">
        <x:v>Processes CyberArk accounts from CSV and rotates account passwords.</x:v>
      </x:c>
      <x:c r="H26" s="15" t="str">
        <x:v>Operations</x:v>
      </x:c>
      <x:c r="I26" s="15" t="str">
        <x:v>Internal support</x:v>
      </x:c>
      <x:c r="J26" s="15" t="str">
        <x:v>Yes</x:v>
      </x:c>
      <x:c r="K26" s="15" t="str">
        <x:v>Assess First</x:v>
      </x:c>
      <x:c r="L26" s="15" t="str">
        <x:v>BAU / vault-support review</x:v>
      </x:c>
      <x:c r="M26" s="15" t="str">
        <x:v>Medium</x:v>
      </x:c>
      <x:c r="N26" s="15" t="str">
        <x:v>Medium</x:v>
      </x:c>
      <x:c r="O26" s="15" t="str">
        <x:v>Medium</x:v>
      </x:c>
      <x:c r="P26" s="15" t="str">
        <x:v>Needs estimate</x:v>
      </x:c>
      <x:c r="Q26" s="19" t="str">
        <x:f>IF(P26="1-2 Months",30,IF(P26="3-6 Months",90,IF(P26="7 Months-1 Year",180,IF(P26="2 sprints",20,IF(P26="5-6 sprints",50,"")))))</x:f>
      </x:c>
      <x:c r="R26" s="15" t="str"/>
      <x:c r="S26" s="15" t="str">
        <x:v>TBD</x:v>
      </x:c>
      <x:c r="T26" s="15" t="str">
        <x:v>Needs Validation</x:v>
      </x:c>
      <x:c r="U26" s="15" t="str">
        <x:v>Medium</x:v>
      </x:c>
      <x:c r="V26" s="15" t="str">
        <x:v>Potentially vault-timeline dependent; validate before assigning phase.</x:v>
      </x:c>
    </x:row>
    <x:row r="27">
      <x:c r="A27" s="19" t="n">
        <x:v>25</x:v>
      </x:c>
      <x:c r="B27" s="15" t="str">
        <x:v>APP-023</x:v>
      </x:c>
      <x:c r="C27" s="15" t="str">
        <x:v>SafeAndAccountValidationBypassService</x:v>
      </x:c>
      <x:c r="D27" s="15" t="str">
        <x:v>Yes</x:v>
      </x:c>
      <x:c r="E27" s="15" t="str">
        <x:v>Internal Service</x:v>
      </x:c>
      <x:c r="F27" s="15" t="str">
        <x:v>Legacy Sustainment</x:v>
      </x:c>
      <x:c r="G27" s="15" t="str">
        <x:v>Validation bypass service related to safe and account checks.</x:v>
      </x:c>
      <x:c r="H27" s="15" t="str">
        <x:v>CA / PA validation</x:v>
      </x:c>
      <x:c r="I27" s="15" t="str">
        <x:v>Internal support</x:v>
      </x:c>
      <x:c r="J27" s="15" t="str">
        <x:v>Yes</x:v>
      </x:c>
      <x:c r="K27" s="15" t="str">
        <x:v>Modernize / Consolidate into Unity</x:v>
      </x:c>
      <x:c r="L27" s="15" t="str">
        <x:v>Phase 2</x:v>
      </x:c>
      <x:c r="M27" s="15" t="str">
        <x:v>Medium</x:v>
      </x:c>
      <x:c r="N27" s="15" t="str">
        <x:v>Medium</x:v>
      </x:c>
      <x:c r="O27" s="15" t="str">
        <x:v>Medium</x:v>
      </x:c>
      <x:c r="P27" s="15" t="str">
        <x:v>Needs estimate</x:v>
      </x:c>
      <x:c r="Q27" s="19" t="str">
        <x:f>IF(P27="1-2 Months",30,IF(P27="3-6 Months",90,IF(P27="7 Months-1 Year",180,IF(P27="2 sprints",20,IF(P27="5-6 sprints",50,"")))))</x:f>
      </x:c>
      <x:c r="R27" s="15" t="str"/>
      <x:c r="S27" s="15" t="str">
        <x:v>TBD</x:v>
      </x:c>
      <x:c r="T27" s="15" t="str">
        <x:v>Needs Validation</x:v>
      </x:c>
      <x:c r="U27" s="15" t="str">
        <x:v>Low</x:v>
      </x:c>
      <x:c r="V27" s="15" t="str">
        <x:v>Name/description from screenshot OCR; requires owner validation.</x:v>
      </x:c>
    </x:row>
    <x:row r="28">
      <x:c r="A28" s="19" t="n">
        <x:v>26</x:v>
      </x:c>
      <x:c r="B28" s="15" t="str">
        <x:v>APP-024</x:v>
      </x:c>
      <x:c r="C28" s="15" t="str">
        <x:v>SafeAndAccountValidationService</x:v>
      </x:c>
      <x:c r="D28" s="15" t="str">
        <x:v>Yes</x:v>
      </x:c>
      <x:c r="E28" s="15" t="str">
        <x:v>Internal Service</x:v>
      </x:c>
      <x:c r="F28" s="15" t="str">
        <x:v>Legacy Sustainment</x:v>
      </x:c>
      <x:c r="G28" s="15" t="str">
        <x:v>Performs comprehensive validation of CyberArk personal accounts.</x:v>
      </x:c>
      <x:c r="H28" s="15" t="str">
        <x:v>CA / PA validation</x:v>
      </x:c>
      <x:c r="I28" s="15" t="str">
        <x:v>Internal support</x:v>
      </x:c>
      <x:c r="J28" s="15" t="str">
        <x:v>Yes</x:v>
      </x:c>
      <x:c r="K28" s="15" t="str">
        <x:v>Modernize / Consolidate into Unity</x:v>
      </x:c>
      <x:c r="L28" s="15" t="str">
        <x:v>Phase 1 candidate</x:v>
      </x:c>
      <x:c r="M28" s="15" t="str">
        <x:v>High</x:v>
      </x:c>
      <x:c r="N28" s="15" t="str">
        <x:v>Medium</x:v>
      </x:c>
      <x:c r="O28" s="15" t="str">
        <x:v>Medium</x:v>
      </x:c>
      <x:c r="P28" s="15" t="str">
        <x:v>Needs estimate</x:v>
      </x:c>
      <x:c r="Q28" s="19" t="str">
        <x:f>IF(P28="1-2 Months",30,IF(P28="3-6 Months",90,IF(P28="7 Months-1 Year",180,IF(P28="2 sprints",20,IF(P28="5-6 sprints",50,"")))))</x:f>
      </x:c>
      <x:c r="R28" s="15" t="str"/>
      <x:c r="S28" s="15" t="str">
        <x:v>TBD</x:v>
      </x:c>
      <x:c r="T28" s="15" t="str">
        <x:v>Needs Validation</x:v>
      </x:c>
      <x:c r="U28" s="15" t="str">
        <x:v>Medium</x:v>
      </x:c>
      <x:c r="V28" s="15" t="str">
        <x:v>Part of control to validate safes and accounts; CA related.</x:v>
      </x:c>
    </x:row>
    <x:row r="29">
      <x:c r="A29" s="19" t="n">
        <x:v>27</x:v>
      </x:c>
      <x:c r="B29" s="15" t="str">
        <x:v>APP-025</x:v>
      </x:c>
      <x:c r="C29" s="15" t="str">
        <x:v>SafePermissionUpdate</x:v>
      </x:c>
      <x:c r="D29" s="15" t="str">
        <x:v>Needs review</x:v>
      </x:c>
      <x:c r="E29" s="15" t="str">
        <x:v>Utility</x:v>
      </x:c>
      <x:c r="F29" s="15" t="str">
        <x:v>Legacy Sustainment</x:v>
      </x:c>
      <x:c r="G29" s="15" t="str">
        <x:v>Updates safe permissions for specified members.</x:v>
      </x:c>
      <x:c r="H29" s="15" t="str">
        <x:v>Operations</x:v>
      </x:c>
      <x:c r="I29" s="15" t="str">
        <x:v>Internal support</x:v>
      </x:c>
      <x:c r="J29" s="15" t="str">
        <x:v>Yes</x:v>
      </x:c>
      <x:c r="K29" s="15" t="str">
        <x:v>Assess First</x:v>
      </x:c>
      <x:c r="L29" s="15" t="str">
        <x:v>BAU / vault-support review</x:v>
      </x:c>
      <x:c r="M29" s="15" t="str">
        <x:v>Medium</x:v>
      </x:c>
      <x:c r="N29" s="15" t="str">
        <x:v>Medium</x:v>
      </x:c>
      <x:c r="O29" s="15" t="str">
        <x:v>Medium</x:v>
      </x:c>
      <x:c r="P29" s="15" t="str">
        <x:v>Needs estimate</x:v>
      </x:c>
      <x:c r="Q29" s="19" t="str">
        <x:f>IF(P29="1-2 Months",30,IF(P29="3-6 Months",90,IF(P29="7 Months-1 Year",180,IF(P29="2 sprints",20,IF(P29="5-6 sprints",50,"")))))</x:f>
      </x:c>
      <x:c r="R29" s="15" t="str"/>
      <x:c r="S29" s="15" t="str">
        <x:v>TBD</x:v>
      </x:c>
      <x:c r="T29" s="15" t="str">
        <x:v>Needs Validation</x:v>
      </x:c>
      <x:c r="U29" s="15" t="str">
        <x:v>Low</x:v>
      </x:c>
      <x:c r="V29" s="15" t="str">
        <x:v>Confirm current usage and whether it blocks decommissioning.</x:v>
      </x:c>
    </x:row>
    <x:row r="30">
      <x:c r="A30" s="19" t="n">
        <x:v>28</x:v>
      </x:c>
      <x:c r="B30" s="15" t="str">
        <x:v>APP-026</x:v>
      </x:c>
      <x:c r="C30" s="15" t="str">
        <x:v>ServiceAccountImportConsole</x:v>
      </x:c>
      <x:c r="D30" s="15" t="str">
        <x:v>Yes</x:v>
      </x:c>
      <x:c r="E30" s="15" t="str">
        <x:v>Console App</x:v>
      </x:c>
      <x:c r="F30" s="15" t="str">
        <x:v>Legacy Sustainment</x:v>
      </x:c>
      <x:c r="G30" s="15" t="str">
        <x:v>Imports service accounts into CyberArk from CSV, creating corresponding safes and accounts.</x:v>
      </x:c>
      <x:c r="H30" s="15" t="str">
        <x:v>NHA / EPV integrations</x:v>
      </x:c>
      <x:c r="I30" s="15" t="str">
        <x:v>User-facing support</x:v>
      </x:c>
      <x:c r="J30" s="15" t="str">
        <x:v>Yes</x:v>
      </x:c>
      <x:c r="K30" s="15" t="str">
        <x:v>Modernize / Consolidate into Unity</x:v>
      </x:c>
      <x:c r="L30" s="15" t="str">
        <x:v>Phase 1 candidate</x:v>
      </x:c>
      <x:c r="M30" s="15" t="str">
        <x:v>High</x:v>
      </x:c>
      <x:c r="N30" s="15" t="str">
        <x:v>High</x:v>
      </x:c>
      <x:c r="O30" s="15" t="str">
        <x:v>Medium</x:v>
      </x:c>
      <x:c r="P30" s="15" t="str">
        <x:v>Needs estimate</x:v>
      </x:c>
      <x:c r="Q30" s="19" t="str">
        <x:f>IF(P30="1-2 Months",30,IF(P30="3-6 Months",90,IF(P30="7 Months-1 Year",180,IF(P30="2 sprints",20,IF(P30="5-6 sprints",50,"")))))</x:f>
      </x:c>
      <x:c r="R30" s="15" t="str"/>
      <x:c r="S30" s="15" t="str">
        <x:v>TBD</x:v>
      </x:c>
      <x:c r="T30" s="15" t="str">
        <x:v>Needs Validation</x:v>
      </x:c>
      <x:c r="U30" s="15" t="str">
        <x:v>Medium</x:v>
      </x:c>
      <x:c r="V30" s="15" t="str">
        <x:v>Onboarding NHA; affected by CA Action 4 per screenshot notes.</x:v>
      </x:c>
    </x:row>
    <x:row r="31">
      <x:c r="A31" s="19" t="n">
        <x:v>29</x:v>
      </x:c>
      <x:c r="B31" s="15" t="str">
        <x:v>APP-027</x:v>
      </x:c>
      <x:c r="C31" s="15" t="str">
        <x:v>Tail</x:v>
      </x:c>
      <x:c r="D31" s="15" t="str">
        <x:v>No</x:v>
      </x:c>
      <x:c r="E31" s="15" t="str">
        <x:v>Utility</x:v>
      </x:c>
      <x:c r="F31" s="15" t="str">
        <x:v>Legacy Sustainment</x:v>
      </x:c>
      <x:c r="G31" s="15" t="str">
        <x:v>Legacy utility with no clear current business use in screenshot source.</x:v>
      </x:c>
      <x:c r="H31" s="15" t="str">
        <x:v>Needs validation</x:v>
      </x:c>
      <x:c r="I31" s="15" t="str">
        <x:v>Internal support</x:v>
      </x:c>
      <x:c r="J31" s="15" t="str">
        <x:v>No</x:v>
      </x:c>
      <x:c r="K31" s="15" t="str">
        <x:v>Retire / No Active Move</x:v>
      </x:c>
      <x:c r="L31" s="15" t="str">
        <x:v>Deprecate</x:v>
      </x:c>
      <x:c r="M31" s="15" t="str">
        <x:v>Low</x:v>
      </x:c>
      <x:c r="N31" s="15" t="str">
        <x:v>Low</x:v>
      </x:c>
      <x:c r="O31" s="15" t="str">
        <x:v>Low</x:v>
      </x:c>
      <x:c r="P31" s="15" t="str">
        <x:v>No active move</x:v>
      </x:c>
      <x:c r="Q31" s="19" t="str">
        <x:f>IF(P31="1-2 Months",30,IF(P31="3-6 Months",90,IF(P31="7 Months-1 Year",180,IF(P31="2 sprints",20,IF(P31="5-6 sprints",50,"")))))</x:f>
      </x:c>
      <x:c r="R31" s="15" t="str"/>
      <x:c r="S31" s="15" t="str">
        <x:v>TBD</x:v>
      </x:c>
      <x:c r="T31" s="15" t="str">
        <x:v>Needs Validation</x:v>
      </x:c>
      <x:c r="U31" s="15" t="str">
        <x:v>Low</x:v>
      </x:c>
      <x:c r="V31" s="15" t="str">
        <x:v>Confirm no active use before deprecation.</x:v>
      </x:c>
    </x:row>
    <x:row r="32">
      <x:c r="A32" s="19" t="n">
        <x:v>30</x:v>
      </x:c>
      <x:c r="B32" s="15" t="str">
        <x:v>APP-028</x:v>
      </x:c>
      <x:c r="C32" s="15" t="str">
        <x:v>vopSafeCreate</x:v>
      </x:c>
      <x:c r="D32" s="15" t="str">
        <x:v>Yes</x:v>
      </x:c>
      <x:c r="E32" s="15" t="str">
        <x:v>Utility / Console App</x:v>
      </x:c>
      <x:c r="F32" s="15" t="str">
        <x:v>Legacy Sustainment</x:v>
      </x:c>
      <x:c r="G32" s="15" t="str">
        <x:v>Creates safes in EPV and AD groups with required permissions.</x:v>
      </x:c>
      <x:c r="H32" s="15" t="str">
        <x:v>EPV operations</x:v>
      </x:c>
      <x:c r="I32" s="15" t="str">
        <x:v>User-facing support</x:v>
      </x:c>
      <x:c r="J32" s="15" t="str">
        <x:v>Yes</x:v>
      </x:c>
      <x:c r="K32" s="15" t="str">
        <x:v>Modernize / Consolidate into Unity</x:v>
      </x:c>
      <x:c r="L32" s="15" t="str">
        <x:v>Phase 1 candidate</x:v>
      </x:c>
      <x:c r="M32" s="15" t="str">
        <x:v>High</x:v>
      </x:c>
      <x:c r="N32" s="15" t="str">
        <x:v>High</x:v>
      </x:c>
      <x:c r="O32" s="15" t="str">
        <x:v>Medium</x:v>
      </x:c>
      <x:c r="P32" s="15" t="str">
        <x:v>Needs estimate</x:v>
      </x:c>
      <x:c r="Q32" s="19" t="str">
        <x:f>IF(P32="1-2 Months",30,IF(P32="3-6 Months",90,IF(P32="7 Months-1 Year",180,IF(P32="2 sprints",20,IF(P32="5-6 sprints",50,"")))))</x:f>
      </x:c>
      <x:c r="R32" s="15" t="str"/>
      <x:c r="S32" s="15" t="str">
        <x:v>TBD</x:v>
      </x:c>
      <x:c r="T32" s="15" t="str">
        <x:v>Needs Validation</x:v>
      </x:c>
      <x:c r="U32" s="15" t="str">
        <x:v>Medium</x:v>
      </x:c>
      <x:c r="V32" s="15" t="str">
        <x:v>Safe creation is likely phase-one critical if day-one operations depend on it.</x:v>
      </x:c>
    </x:row>
    <x:row r="33">
      <x:c r="A33" s="19" t="n">
        <x:v>31</x:v>
      </x:c>
      <x:c r="B33" s="15" t="str">
        <x:v>APP-029</x:v>
      </x:c>
      <x:c r="C33" s="15" t="str">
        <x:v>IESEPVAPI</x:v>
      </x:c>
      <x:c r="D33" s="15" t="str">
        <x:v>Yes</x:v>
      </x:c>
      <x:c r="E33" s="15" t="str">
        <x:v>SOAP Service</x:v>
      </x:c>
      <x:c r="F33" s="15" t="str">
        <x:v>Legacy Sustainment</x:v>
      </x:c>
      <x:c r="G33" s="15" t="str">
        <x:v>ASMX Account service that integrates with CyberArk EPV and exposes SOAP account operations.</x:v>
      </x:c>
      <x:c r="H33" s="15" t="str">
        <x:v>Application integrations</x:v>
      </x:c>
      <x:c r="I33" s="15" t="str">
        <x:v>User-facing support</x:v>
      </x:c>
      <x:c r="J33" s="15" t="str">
        <x:v>Yes</x:v>
      </x:c>
      <x:c r="K33" s="15" t="str">
        <x:v>Assess First / API Modernization</x:v>
      </x:c>
      <x:c r="L33" s="15" t="str">
        <x:v>Phase 1 candidate</x:v>
      </x:c>
      <x:c r="M33" s="15" t="str">
        <x:v>High</x:v>
      </x:c>
      <x:c r="N33" s="15" t="str">
        <x:v>High</x:v>
      </x:c>
      <x:c r="O33" s="15" t="str">
        <x:v>High</x:v>
      </x:c>
      <x:c r="P33" s="15" t="str">
        <x:v>Needs estimate</x:v>
      </x:c>
      <x:c r="Q33" s="19" t="str">
        <x:f>IF(P33="1-2 Months",30,IF(P33="3-6 Months",90,IF(P33="7 Months-1 Year",180,IF(P33="2 sprints",20,IF(P33="5-6 sprints",50,"")))))</x:f>
      </x:c>
      <x:c r="R33" s="15" t="str"/>
      <x:c r="S33" s="15" t="str">
        <x:v>TBD</x:v>
      </x:c>
      <x:c r="T33" s="15" t="str">
        <x:v>Needs Validation</x:v>
      </x:c>
      <x:c r="U33" s="15" t="str">
        <x:v>Medium</x:v>
      </x:c>
      <x:c r="V33" s="15" t="str">
        <x:v>API path may be a direct integration dependency; validate callers before phase decision.</x:v>
      </x:c>
    </x:row>
    <x:row r="34">
      <x:c r="A34" s="19" t="n">
        <x:v>32</x:v>
      </x:c>
      <x:c r="B34" s="15" t="str">
        <x:v>APP-030</x:v>
      </x:c>
      <x:c r="C34" s="15" t="str">
        <x:v>ServiceNow DLL</x:v>
      </x:c>
      <x:c r="D34" s="15" t="str">
        <x:v>Yes</x:v>
      </x:c>
      <x:c r="E34" s="15" t="str">
        <x:v>DLL / Integration Component</x:v>
      </x:c>
      <x:c r="F34" s="15" t="str">
        <x:v>Legacy Sustainment</x:v>
      </x:c>
      <x:c r="G34" s="15" t="str">
        <x:v>Validates ServiceNow ticket before password checkout from EPV.</x:v>
      </x:c>
      <x:c r="H34" s="15" t="str">
        <x:v>ServiceNow / CyberArk integration</x:v>
      </x:c>
      <x:c r="I34" s="15" t="str">
        <x:v>Internal support</x:v>
      </x:c>
      <x:c r="J34" s="15" t="str">
        <x:v>Yes</x:v>
      </x:c>
      <x:c r="K34" s="15" t="str">
        <x:v>BAU / Integration Review</x:v>
      </x:c>
      <x:c r="L34" s="15" t="str">
        <x:v>BAU / vault-support review</x:v>
      </x:c>
      <x:c r="M34" s="15" t="str">
        <x:v>Medium</x:v>
      </x:c>
      <x:c r="N34" s="15" t="str">
        <x:v>Medium</x:v>
      </x:c>
      <x:c r="O34" s="15" t="str">
        <x:v>Medium</x:v>
      </x:c>
      <x:c r="P34" s="15" t="str">
        <x:v>Needs estimate</x:v>
      </x:c>
      <x:c r="Q34" s="19" t="str">
        <x:f>IF(P34="1-2 Months",30,IF(P34="3-6 Months",90,IF(P34="7 Months-1 Year",180,IF(P34="2 sprints",20,IF(P34="5-6 sprints",50,"")))))</x:f>
      </x:c>
      <x:c r="R34" s="15" t="str"/>
      <x:c r="S34" s="15" t="str">
        <x:v>TBD</x:v>
      </x:c>
      <x:c r="T34" s="15" t="str">
        <x:v>Needs Validation</x:v>
      </x:c>
      <x:c r="U34" s="15" t="str">
        <x:v>Medium</x:v>
      </x:c>
      <x:c r="V34" s="15" t="str">
        <x:v>Supporting component rather than standalone modernization app; handle through integration review.</x:v>
      </x:c>
    </x:row>
    <x:row r="35">
      <x:c r="A35" s="19" t="n">
        <x:v>33</x:v>
      </x:c>
      <x:c r="B35" s="15" t="str">
        <x:v>APP-031</x:v>
      </x:c>
      <x:c r="C35" s="15" t="str">
        <x:v>EVD SQL</x:v>
      </x:c>
      <x:c r="D35" s="15" t="str">
        <x:v>Yes</x:v>
      </x:c>
      <x:c r="E35" s="15" t="str">
        <x:v>Console App / Scheduled Task / Database ETL</x:v>
      </x:c>
      <x:c r="F35" s="15" t="str">
        <x:v>Legacy Sustainment</x:v>
      </x:c>
      <x:c r="G35" s="15" t="str">
        <x:v>Daily extractions from CyberArk using ExportVaultData and loads metadata into reporting databases.</x:v>
      </x:c>
      <x:c r="H35" s="15" t="str">
        <x:v>Reporting consumers</x:v>
      </x:c>
      <x:c r="I35" s="15" t="str">
        <x:v>Internal support</x:v>
      </x:c>
      <x:c r="J35" s="15" t="str">
        <x:v>Yes</x:v>
      </x:c>
      <x:c r="K35" s="15" t="str">
        <x:v>Modernize / Cron-OCP or DB Migration</x:v>
      </x:c>
      <x:c r="L35" s="15" t="str">
        <x:v>Phase 2</x:v>
      </x:c>
      <x:c r="M35" s="15" t="str">
        <x:v>Medium</x:v>
      </x:c>
      <x:c r="N35" s="15" t="str">
        <x:v>High</x:v>
      </x:c>
      <x:c r="O35" s="15" t="str">
        <x:v>Medium</x:v>
      </x:c>
      <x:c r="P35" s="15" t="str">
        <x:v>Needs estimate</x:v>
      </x:c>
      <x:c r="Q35" s="19" t="str">
        <x:f>IF(P35="1-2 Months",30,IF(P35="3-6 Months",90,IF(P35="7 Months-1 Year",180,IF(P35="2 sprints",20,IF(P35="5-6 sprints",50,"")))))</x:f>
      </x:c>
      <x:c r="R35" s="15" t="str"/>
      <x:c r="S35" s="15" t="str">
        <x:v>TBD</x:v>
      </x:c>
      <x:c r="T35" s="15" t="str">
        <x:v>Needs Validation</x:v>
      </x:c>
      <x:c r="U35" s="15" t="str">
        <x:v>Medium</x:v>
      </x:c>
      <x:c r="V35" s="15" t="str">
        <x:v>Shared database dependency; only metadata exported, no secret data per notes.</x:v>
      </x:c>
    </x:row>
    <x:row r="36">
      <x:c r="A36" s="19" t="n">
        <x:v>34</x:v>
      </x:c>
      <x:c r="B36" s="15" t="str">
        <x:v>APP-032</x:v>
      </x:c>
      <x:c r="C36" s="15" t="str">
        <x:v>RSA Bypass</x:v>
      </x:c>
      <x:c r="D36" s="15" t="str">
        <x:v>Yes</x:v>
      </x:c>
      <x:c r="E36" s="15" t="str">
        <x:v>PowerShell</x:v>
      </x:c>
      <x:c r="F36" s="15" t="str">
        <x:v>Legacy Sustainment</x:v>
      </x:c>
      <x:c r="G36" s="15" t="str">
        <x:v>Bypasses RSA token while logging into servers and performs vault health checks.</x:v>
      </x:c>
      <x:c r="H36" s="15" t="str">
        <x:v>Operations</x:v>
      </x:c>
      <x:c r="I36" s="15" t="str">
        <x:v>Internal support</x:v>
      </x:c>
      <x:c r="J36" s="15" t="str">
        <x:v>No</x:v>
      </x:c>
      <x:c r="K36" s="15" t="str">
        <x:v>BAU / VM Exception Review</x:v>
      </x:c>
      <x:c r="L36" s="15" t="str">
        <x:v>BAU / vault-support review</x:v>
      </x:c>
      <x:c r="M36" s="15" t="str">
        <x:v>Medium</x:v>
      </x:c>
      <x:c r="N36" s="15" t="str">
        <x:v>Medium</x:v>
      </x:c>
      <x:c r="O36" s="15" t="str">
        <x:v>Medium</x:v>
      </x:c>
      <x:c r="P36" s="15" t="str">
        <x:v>Needs estimate</x:v>
      </x:c>
      <x:c r="Q36" s="19" t="str">
        <x:f>IF(P36="1-2 Months",30,IF(P36="3-6 Months",90,IF(P36="7 Months-1 Year",180,IF(P36="2 sprints",20,IF(P36="5-6 sprints",50,"")))))</x:f>
      </x:c>
      <x:c r="R36" s="15" t="str"/>
      <x:c r="S36" s="15" t="str">
        <x:v>TBD</x:v>
      </x:c>
      <x:c r="T36" s="15" t="str">
        <x:v>Needs Validation</x:v>
      </x:c>
      <x:c r="U36" s="15" t="str">
        <x:v>Medium</x:v>
      </x:c>
      <x:c r="V36" s="15" t="str">
        <x:v>May remain outside Unity if tied to server operations; validate security path.</x:v>
      </x:c>
    </x:row>
    <x:row r="37">
      <x:c r="A37" s="19" t="n">
        <x:v>35</x:v>
      </x:c>
      <x:c r="B37" s="15" t="str">
        <x:v>APP-033</x:v>
      </x:c>
      <x:c r="C37" s="15" t="str">
        <x:v>eSAR data table update</x:v>
      </x:c>
      <x:c r="D37" s="15" t="str">
        <x:v>Yes</x:v>
      </x:c>
      <x:c r="E37" s="15" t="str">
        <x:v>Database / SQL</x:v>
      </x:c>
      <x:c r="F37" s="15" t="str">
        <x:v>Legacy Sustainment</x:v>
      </x:c>
      <x:c r="G37" s="15" t="str">
        <x:v>Provides the eSAR team a table to consume as input for services.</x:v>
      </x:c>
      <x:c r="H37" s="15" t="str">
        <x:v>eSAR</x:v>
      </x:c>
      <x:c r="I37" s="15" t="str">
        <x:v>Internal support</x:v>
      </x:c>
      <x:c r="J37" s="15" t="str">
        <x:v>No</x:v>
      </x:c>
      <x:c r="K37" s="15" t="str">
        <x:v>DB Modernization / Assess First</x:v>
      </x:c>
      <x:c r="L37" s="15" t="str">
        <x:v>Phase 2</x:v>
      </x:c>
      <x:c r="M37" s="15" t="str">
        <x:v>Medium</x:v>
      </x:c>
      <x:c r="N37" s="15" t="str">
        <x:v>Medium</x:v>
      </x:c>
      <x:c r="O37" s="15" t="str">
        <x:v>High</x:v>
      </x:c>
      <x:c r="P37" s="15" t="str">
        <x:v>Needs estimate</x:v>
      </x:c>
      <x:c r="Q37" s="19" t="str">
        <x:f>IF(P37="1-2 Months",30,IF(P37="3-6 Months",90,IF(P37="7 Months-1 Year",180,IF(P37="2 sprints",20,IF(P37="5-6 sprints",50,"")))))</x:f>
      </x:c>
      <x:c r="R37" s="15" t="str">
        <x:v>DTCX-2103</x:v>
      </x:c>
      <x:c r="S37" s="15" t="str">
        <x:v>TBD</x:v>
      </x:c>
      <x:c r="T37" s="15" t="str">
        <x:v>Needs Validation</x:v>
      </x:c>
      <x:c r="U37" s="15" t="str">
        <x:v>Medium</x:v>
      </x:c>
      <x:c r="V37" s="15" t="str">
        <x:v>Database dependency may be a hidden blocker for app migration sequencing.</x:v>
      </x:c>
    </x:row>
    <x:row r="38">
      <x:c r="A38" s="19" t="n">
        <x:v>36</x:v>
      </x:c>
      <x:c r="B38" s="15" t="str">
        <x:v>APP-034</x:v>
      </x:c>
      <x:c r="C38" s="15" t="str">
        <x:v>NHA CPM Disabled (NHADisabledAccountDeleteService)</x:v>
      </x:c>
      <x:c r="D38" s="15" t="str">
        <x:v>Yes</x:v>
      </x:c>
      <x:c r="E38" s="15" t="str">
        <x:v>Service</x:v>
      </x:c>
      <x:c r="F38" s="15" t="str">
        <x:v>Legacy Sustainment</x:v>
      </x:c>
      <x:c r="G38" s="15" t="str">
        <x:v>Removes disabled/deleted NHA AD-ENT accounts from EPV using ServiceNow and EPV reporting database.</x:v>
      </x:c>
      <x:c r="H38" s="15" t="str">
        <x:v>NHA / operations</x:v>
      </x:c>
      <x:c r="I38" s="15" t="str">
        <x:v>Internal support</x:v>
      </x:c>
      <x:c r="J38" s="15" t="str">
        <x:v>Yes</x:v>
      </x:c>
      <x:c r="K38" s="15" t="str">
        <x:v>Modernize / Consolidate into Unity</x:v>
      </x:c>
      <x:c r="L38" s="15" t="str">
        <x:v>Phase 2</x:v>
      </x:c>
      <x:c r="M38" s="15" t="str">
        <x:v>Medium</x:v>
      </x:c>
      <x:c r="N38" s="15" t="str">
        <x:v>Medium</x:v>
      </x:c>
      <x:c r="O38" s="15" t="str">
        <x:v>Medium</x:v>
      </x:c>
      <x:c r="P38" s="15" t="str">
        <x:v>Needs estimate</x:v>
      </x:c>
      <x:c r="Q38" s="19" t="str">
        <x:f>IF(P38="1-2 Months",30,IF(P38="3-6 Months",90,IF(P38="7 Months-1 Year",180,IF(P38="2 sprints",20,IF(P38="5-6 sprints",50,"")))))</x:f>
      </x:c>
      <x:c r="R38" s="15" t="str"/>
      <x:c r="S38" s="15" t="str">
        <x:v>TBD</x:v>
      </x:c>
      <x:c r="T38" s="15" t="str">
        <x:v>Needs Validation</x:v>
      </x:c>
      <x:c r="U38" s="15" t="str">
        <x:v>Medium</x:v>
      </x:c>
      <x:c r="V38" s="15" t="str">
        <x:v>Ongoing data hygiene; depends on ServiceNow and EPV reporting.</x:v>
      </x:c>
    </x:row>
    <x:row r="39">
      <x:c r="A39" s="19" t="n">
        <x:v>37</x:v>
      </x:c>
      <x:c r="B39" s="15" t="str">
        <x:v>APP-035</x:v>
      </x:c>
      <x:c r="C39" s="15" t="str">
        <x:v>BOKS Hash</x:v>
      </x:c>
      <x:c r="D39" s="15" t="str">
        <x:v>Yes</x:v>
      </x:c>
      <x:c r="E39" s="15" t="str">
        <x:v>Internal Service / Console App</x:v>
      </x:c>
      <x:c r="F39" s="15" t="str">
        <x:v>Legacy Sustainment</x:v>
      </x:c>
      <x:c r="G39" s="15" t="str">
        <x:v>Hashes passwords for BOKS password resets and writes to BOKS for password changes.</x:v>
      </x:c>
      <x:c r="H39" s="15" t="str">
        <x:v>BOKS operations</x:v>
      </x:c>
      <x:c r="I39" s="15" t="str">
        <x:v>Internal support</x:v>
      </x:c>
      <x:c r="J39" s="15" t="str">
        <x:v>No</x:v>
      </x:c>
      <x:c r="K39" s="15" t="str">
        <x:v>Assess First</x:v>
      </x:c>
      <x:c r="L39" s="15" t="str">
        <x:v>BAU / vault-support review</x:v>
      </x:c>
      <x:c r="M39" s="15" t="str">
        <x:v>Medium</x:v>
      </x:c>
      <x:c r="N39" s="15" t="str">
        <x:v>Medium</x:v>
      </x:c>
      <x:c r="O39" s="15" t="str">
        <x:v>Medium</x:v>
      </x:c>
      <x:c r="P39" s="15" t="str">
        <x:v>Needs estimate</x:v>
      </x:c>
      <x:c r="Q39" s="19" t="str">
        <x:f>IF(P39="1-2 Months",30,IF(P39="3-6 Months",90,IF(P39="7 Months-1 Year",180,IF(P39="2 sprints",20,IF(P39="5-6 sprints",50,"")))))</x:f>
      </x:c>
      <x:c r="R39" s="15" t="str"/>
      <x:c r="S39" s="15" t="str">
        <x:v>TBD</x:v>
      </x:c>
      <x:c r="T39" s="15" t="str">
        <x:v>Needs Validation</x:v>
      </x:c>
      <x:c r="U39" s="15" t="str">
        <x:v>Medium</x:v>
      </x:c>
      <x:c r="V39" s="15" t="str">
        <x:v>Validate whether BOKS process must move with NGDC or remain separate.</x:v>
      </x:c>
    </x:row>
    <x:row r="40">
      <x:c r="A40" s="19" t="n">
        <x:v>38</x:v>
      </x:c>
      <x:c r="B40" s="15" t="str">
        <x:v>APP-036</x:v>
      </x:c>
      <x:c r="C40" s="15" t="str">
        <x:v>ACT Code</x:v>
      </x:c>
      <x:c r="D40" s="15" t="str">
        <x:v>Yes</x:v>
      </x:c>
      <x:c r="E40" s="15" t="str">
        <x:v>Console App</x:v>
      </x:c>
      <x:c r="F40" s="15" t="str">
        <x:v>Legacy Sustainment</x:v>
      </x:c>
      <x:c r="G40" s="15" t="str">
        <x:v>Generates safe-access certification files and sends manager confirmation emails.</x:v>
      </x:c>
      <x:c r="H40" s="15" t="str">
        <x:v>Access certification / managers</x:v>
      </x:c>
      <x:c r="I40" s="15" t="str">
        <x:v>Internal support</x:v>
      </x:c>
      <x:c r="J40" s="15" t="str">
        <x:v>No</x:v>
      </x:c>
      <x:c r="K40" s="15" t="str">
        <x:v>Modernize / Cron-OCP</x:v>
      </x:c>
      <x:c r="L40" s="15" t="str">
        <x:v>Phase 2</x:v>
      </x:c>
      <x:c r="M40" s="15" t="str">
        <x:v>Medium</x:v>
      </x:c>
      <x:c r="N40" s="15" t="str">
        <x:v>Medium</x:v>
      </x:c>
      <x:c r="O40" s="15" t="str">
        <x:v>Medium</x:v>
      </x:c>
      <x:c r="P40" s="15" t="str">
        <x:v>Needs estimate</x:v>
      </x:c>
      <x:c r="Q40" s="19" t="str">
        <x:f>IF(P40="1-2 Months",30,IF(P40="3-6 Months",90,IF(P40="7 Months-1 Year",180,IF(P40="2 sprints",20,IF(P40="5-6 sprints",50,"")))))</x:f>
      </x:c>
      <x:c r="R40" s="15" t="str"/>
      <x:c r="S40" s="15" t="str">
        <x:v>TBD</x:v>
      </x:c>
      <x:c r="T40" s="15" t="str">
        <x:v>Needs Validation</x:v>
      </x:c>
      <x:c r="U40" s="15" t="str">
        <x:v>Medium</x:v>
      </x:c>
      <x:c r="V40" s="15" t="str">
        <x:v>Control process; may be NFR/compliance relevant.</x:v>
      </x:c>
    </x:row>
    <x:row r="41">
      <x:c r="A41" s="19" t="n">
        <x:v>39</x:v>
      </x:c>
      <x:c r="B41" s="15" t="str">
        <x:v>APP-037</x:v>
      </x:c>
      <x:c r="C41" s="15" t="str">
        <x:v>PSM Health Monitor</x:v>
      </x:c>
      <x:c r="D41" s="15" t="str">
        <x:v>Maybe</x:v>
      </x:c>
      <x:c r="E41" s="15" t="str">
        <x:v>Console App</x:v>
      </x:c>
      <x:c r="F41" s="15" t="str">
        <x:v>Legacy Sustainment</x:v>
      </x:c>
      <x:c r="G41" s="15" t="str">
        <x:v>Monitors Windows service health and returns service status.</x:v>
      </x:c>
      <x:c r="H41" s="15" t="str">
        <x:v>Operations</x:v>
      </x:c>
      <x:c r="I41" s="15" t="str">
        <x:v>Internal support</x:v>
      </x:c>
      <x:c r="J41" s="15" t="str">
        <x:v>No</x:v>
      </x:c>
      <x:c r="K41" s="15" t="str">
        <x:v>Assess First / Dashboard Candidate</x:v>
      </x:c>
      <x:c r="L41" s="15" t="str">
        <x:v>BAU / vault-support review</x:v>
      </x:c>
      <x:c r="M41" s="15" t="str">
        <x:v>Medium</x:v>
      </x:c>
      <x:c r="N41" s="15" t="str">
        <x:v>Medium</x:v>
      </x:c>
      <x:c r="O41" s="15" t="str">
        <x:v>Medium</x:v>
      </x:c>
      <x:c r="P41" s="15" t="str">
        <x:v>Needs estimate</x:v>
      </x:c>
      <x:c r="Q41" s="19" t="str">
        <x:f>IF(P41="1-2 Months",30,IF(P41="3-6 Months",90,IF(P41="7 Months-1 Year",180,IF(P41="2 sprints",20,IF(P41="5-6 sprints",50,"")))))</x:f>
      </x:c>
      <x:c r="R41" s="15" t="str"/>
      <x:c r="S41" s="15" t="str">
        <x:v>TBD</x:v>
      </x:c>
      <x:c r="T41" s="15" t="str">
        <x:v>Needs Validation</x:v>
      </x:c>
      <x:c r="U41" s="15" t="str">
        <x:v>Medium</x:v>
      </x:c>
      <x:c r="V41" s="15" t="str">
        <x:v>Health monitor may not follow same modernization path as business workflows.</x:v>
      </x:c>
    </x:row>
    <x:row r="42">
      <x:c r="A42" s="19" t="n">
        <x:v>40</x:v>
      </x:c>
      <x:c r="B42" s="15" t="str">
        <x:v>APP-038</x:v>
      </x:c>
      <x:c r="C42" s="15" t="str">
        <x:v>Vault Maintenance (Power Shell)</x:v>
      </x:c>
      <x:c r="D42" s="15" t="str">
        <x:v>Maybe</x:v>
      </x:c>
      <x:c r="E42" s="15" t="str">
        <x:v>Script / PowerShell</x:v>
      </x:c>
      <x:c r="F42" s="15" t="str">
        <x:v>Legacy Sustainment</x:v>
      </x:c>
      <x:c r="G42" s="15" t="str">
        <x:v>Logs into servers while bypassing RSA token and performs vault health checks.</x:v>
      </x:c>
      <x:c r="H42" s="15" t="str">
        <x:v>Vault operations</x:v>
      </x:c>
      <x:c r="I42" s="15" t="str">
        <x:v>Internal support</x:v>
      </x:c>
      <x:c r="J42" s="15" t="str">
        <x:v>No</x:v>
      </x:c>
      <x:c r="K42" s="15" t="str">
        <x:v>BAU / VM Exception Review</x:v>
      </x:c>
      <x:c r="L42" s="15" t="str">
        <x:v>BAU / vault-support review</x:v>
      </x:c>
      <x:c r="M42" s="15" t="str">
        <x:v>Medium</x:v>
      </x:c>
      <x:c r="N42" s="15" t="str">
        <x:v>Medium</x:v>
      </x:c>
      <x:c r="O42" s="15" t="str">
        <x:v>Medium</x:v>
      </x:c>
      <x:c r="P42" s="15" t="str">
        <x:v>Needs estimate</x:v>
      </x:c>
      <x:c r="Q42" s="19" t="str">
        <x:f>IF(P42="1-2 Months",30,IF(P42="3-6 Months",90,IF(P42="7 Months-1 Year",180,IF(P42="2 sprints",20,IF(P42="5-6 sprints",50,"")))))</x:f>
      </x:c>
      <x:c r="R42" s="15" t="str"/>
      <x:c r="S42" s="15" t="str">
        <x:v>TBD</x:v>
      </x:c>
      <x:c r="T42" s="15" t="str">
        <x:v>Needs Validation</x:v>
      </x:c>
      <x:c r="U42" s="15" t="str">
        <x:v>Medium</x:v>
      </x:c>
      <x:c r="V42" s="15" t="str">
        <x:v>Vault-timeline dependent; do not assume same critical path as customer-facing apps.</x:v>
      </x:c>
    </x:row>
    <x:row r="43">
      <x:c r="A43" s="19" t="n">
        <x:v>41</x:v>
      </x:c>
      <x:c r="B43" s="15" t="str">
        <x:v>APP-039</x:v>
      </x:c>
      <x:c r="C43" s="15" t="str">
        <x:v>ART Self-Service Microservices</x:v>
      </x:c>
      <x:c r="D43" s="15" t="str">
        <x:v>No</x:v>
      </x:c>
      <x:c r="E43" s="15" t="str">
        <x:v>Microservices</x:v>
      </x:c>
      <x:c r="F43" s="15" t="str">
        <x:v>Legacy Sustainment</x:v>
      </x:c>
      <x:c r="G43" s="15" t="str">
        <x:v>Self-service processing and CCP enablement related to ART workflows.</x:v>
      </x:c>
      <x:c r="H43" s="15" t="str">
        <x:v>ART / internal users</x:v>
      </x:c>
      <x:c r="I43" s="15" t="str">
        <x:v>User-facing support</x:v>
      </x:c>
      <x:c r="J43" s="15" t="str">
        <x:v>Needs review</x:v>
      </x:c>
      <x:c r="K43" s="15" t="str">
        <x:v>Assess First / VM to OCP</x:v>
      </x:c>
      <x:c r="L43" s="15" t="str">
        <x:v>Phase 2</x:v>
      </x:c>
      <x:c r="M43" s="15" t="str">
        <x:v>Medium</x:v>
      </x:c>
      <x:c r="N43" s="15" t="str">
        <x:v>High</x:v>
      </x:c>
      <x:c r="O43" s="15" t="str">
        <x:v>Medium</x:v>
      </x:c>
      <x:c r="P43" s="15" t="str">
        <x:v>Needs estimate</x:v>
      </x:c>
      <x:c r="Q43" s="19" t="str">
        <x:f>IF(P43="1-2 Months",30,IF(P43="3-6 Months",90,IF(P43="7 Months-1 Year",180,IF(P43="2 sprints",20,IF(P43="5-6 sprints",50,"")))))</x:f>
      </x:c>
      <x:c r="R43" s="15" t="str"/>
      <x:c r="S43" s="15" t="str">
        <x:v>TBD</x:v>
      </x:c>
      <x:c r="T43" s="15" t="str">
        <x:v>Needs Validation</x:v>
      </x:c>
      <x:c r="U43" s="15" t="str">
        <x:v>Low</x:v>
      </x:c>
      <x:c r="V43" s="15" t="str">
        <x:v>Screenshot indicates not needed / no code update in places; confirm with owner.</x:v>
      </x:c>
    </x:row>
    <x:row r="44">
      <x:c r="A44" s="19" t="n">
        <x:v>42</x:v>
      </x:c>
      <x:c r="B44" s="15" t="str">
        <x:v>APP-040</x:v>
      </x:c>
      <x:c r="C44" s="15" t="str">
        <x:v>Maturity Model Evaluation</x:v>
      </x:c>
      <x:c r="D44" s="15" t="str">
        <x:v>Yes</x:v>
      </x:c>
      <x:c r="E44" s="15" t="str">
        <x:v>Service with Web Page</x:v>
      </x:c>
      <x:c r="F44" s="15" t="str">
        <x:v>Unity / Modern Platform</x:v>
      </x:c>
      <x:c r="G44" s="15" t="str">
        <x:v>Evaluates policies against a maturity model and sends solution path for notification/resolution.</x:v>
      </x:c>
      <x:c r="H44" s="15" t="str">
        <x:v>MCC / policy teams</x:v>
      </x:c>
      <x:c r="I44" s="15" t="str">
        <x:v>User-facing support</x:v>
      </x:c>
      <x:c r="J44" s="15" t="str">
        <x:v>Yes</x:v>
      </x:c>
      <x:c r="K44" s="15" t="str">
        <x:v>Already Unity / Modern Platform</x:v>
      </x:c>
      <x:c r="L44" s="15" t="str">
        <x:v>BAU / platform proof</x:v>
      </x:c>
      <x:c r="M44" s="15" t="str">
        <x:v>Medium</x:v>
      </x:c>
      <x:c r="N44" s="15" t="str">
        <x:v>Medium</x:v>
      </x:c>
      <x:c r="O44" s="15" t="str">
        <x:v>Low</x:v>
      </x:c>
      <x:c r="P44" s="15" t="str">
        <x:v>Needs estimate</x:v>
      </x:c>
      <x:c r="Q44" s="19" t="str">
        <x:f>IF(P44="1-2 Months",30,IF(P44="3-6 Months",90,IF(P44="7 Months-1 Year",180,IF(P44="2 sprints",20,IF(P44="5-6 sprints",50,"")))))</x:f>
      </x:c>
      <x:c r="R44" s="15" t="str"/>
      <x:c r="S44" s="15" t="str">
        <x:v>TBD</x:v>
      </x:c>
      <x:c r="T44" s="15" t="str">
        <x:v>Needs Validation</x:v>
      </x:c>
      <x:c r="U44" s="15" t="str">
        <x:v>Medium</x:v>
      </x:c>
      <x:c r="V44" s="15" t="str">
        <x:v>May be useful as evidence that Unity pattern is already viable.</x:v>
      </x:c>
    </x:row>
    <x:row r="45">
      <x:c r="A45" s="19" t="n">
        <x:v>43</x:v>
      </x:c>
      <x:c r="B45" s="15" t="str">
        <x:v>APP-041</x:v>
      </x:c>
      <x:c r="C45" s="15" t="str">
        <x:v>Policy Baseline Drift</x:v>
      </x:c>
      <x:c r="D45" s="15" t="str">
        <x:v>Yes</x:v>
      </x:c>
      <x:c r="E45" s="15" t="str">
        <x:v>Service with Web Page</x:v>
      </x:c>
      <x:c r="F45" s="15" t="str">
        <x:v>Unity / Modern Platform</x:v>
      </x:c>
      <x:c r="G45" s="15" t="str">
        <x:v>Extracts current policies, compares against a baseline, and updates EPV when policy does not meet baseline.</x:v>
      </x:c>
      <x:c r="H45" s="15" t="str">
        <x:v>Policy / operations</x:v>
      </x:c>
      <x:c r="I45" s="15" t="str">
        <x:v>User-facing support</x:v>
      </x:c>
      <x:c r="J45" s="15" t="str">
        <x:v>Yes</x:v>
      </x:c>
      <x:c r="K45" s="15" t="str">
        <x:v>Already Unity / Modern Platform</x:v>
      </x:c>
      <x:c r="L45" s="15" t="str">
        <x:v>BAU / platform proof</x:v>
      </x:c>
      <x:c r="M45" s="15" t="str">
        <x:v>Medium</x:v>
      </x:c>
      <x:c r="N45" s="15" t="str">
        <x:v>Medium</x:v>
      </x:c>
      <x:c r="O45" s="15" t="str">
        <x:v>Low</x:v>
      </x:c>
      <x:c r="P45" s="15" t="str">
        <x:v>Needs estimate</x:v>
      </x:c>
      <x:c r="Q45" s="19" t="str">
        <x:f>IF(P45="1-2 Months",30,IF(P45="3-6 Months",90,IF(P45="7 Months-1 Year",180,IF(P45="2 sprints",20,IF(P45="5-6 sprints",50,"")))))</x:f>
      </x:c>
      <x:c r="R45" s="15" t="str"/>
      <x:c r="S45" s="15" t="str">
        <x:v>TBD</x:v>
      </x:c>
      <x:c r="T45" s="15" t="str">
        <x:v>Needs Validation</x:v>
      </x:c>
      <x:c r="U45" s="15" t="str">
        <x:v>Medium</x:v>
      </x:c>
      <x:c r="V45" s="15" t="str">
        <x:v>Potential proof point for reusable platform pattern.</x:v>
      </x:c>
    </x:row>
    <x:row r="46">
      <x:c r="A46" s="19" t="n">
        <x:v>44</x:v>
      </x:c>
      <x:c r="B46" s="15" t="str">
        <x:v>APP-042</x:v>
      </x:c>
      <x:c r="C46" s="15" t="str">
        <x:v>Database</x:v>
      </x:c>
      <x:c r="D46" s="15" t="str">
        <x:v>Yes</x:v>
      </x:c>
      <x:c r="E46" s="15" t="str">
        <x:v>SQL Cluster / Shared Dependency</x:v>
      </x:c>
      <x:c r="F46" s="15" t="str">
        <x:v>Shared Infrastructure</x:v>
      </x:c>
      <x:c r="G46" s="15" t="str">
        <x:v>SQL cluster used by CVIS processes.</x:v>
      </x:c>
      <x:c r="H46" s="15" t="str">
        <x:v>CVIS applications</x:v>
      </x:c>
      <x:c r="I46" s="15" t="str">
        <x:v>Internal support</x:v>
      </x:c>
      <x:c r="J46" s="15" t="str">
        <x:v>No</x:v>
      </x:c>
      <x:c r="K46" s="15" t="str">
        <x:v>Infrastructure / Shared Dependency</x:v>
      </x:c>
      <x:c r="L46" s="15" t="str">
        <x:v>Shared dependency</x:v>
      </x:c>
      <x:c r="M46" s="15" t="str">
        <x:v>High</x:v>
      </x:c>
      <x:c r="N46" s="15" t="str">
        <x:v>High</x:v>
      </x:c>
      <x:c r="O46" s="15" t="str">
        <x:v>High</x:v>
      </x:c>
      <x:c r="P46" s="15" t="str">
        <x:v>Needs estimate</x:v>
      </x:c>
      <x:c r="Q46" s="19" t="str">
        <x:f>IF(P46="1-2 Months",30,IF(P46="3-6 Months",90,IF(P46="7 Months-1 Year",180,IF(P46="2 sprints",20,IF(P46="5-6 sprints",50,"")))))</x:f>
      </x:c>
      <x:c r="R46" s="15" t="str"/>
      <x:c r="S46" s="15" t="str">
        <x:v>TBD</x:v>
      </x:c>
      <x:c r="T46" s="15" t="str">
        <x:v>Needs Validation</x:v>
      </x:c>
      <x:c r="U46" s="15" t="str">
        <x:v>Medium</x:v>
      </x:c>
      <x:c r="V46" s="15" t="str">
        <x:v>Treat as dependency, not a normal refactorable app.</x:v>
      </x:c>
    </x:row>
  </x:sheetData>
  <x:mergeCells>
    <x:mergeCell ref="A1:V1"/>
    <x:mergeCell ref="A2:V2"/>
  </x:mergeCells>
  <x:conditionalFormatting sqref="T5:T46">
    <x:cfRule type="containsText" dxfId="7" priority="1" operator="containsText" text="Complete"/>
    <x:cfRule type="containsText" dxfId="8" priority="2" operator="containsText" text="Blocked"/>
    <x:cfRule type="containsText" dxfId="9" priority="3" operator="containsText" text="At Risk"/>
    <x:cfRule type="containsText" dxfId="10" priority="4" operator="containsText" text="In Progress"/>
  </x:conditionalFormatting>
  <x:dataValidations count="10">
    <x:dataValidation type="list" sqref="D5:D46">
      <x:formula1>"Yes,No,Maybe,Needs review"</x:formula1>
    </x:dataValidation>
    <x:dataValidation type="list" sqref="J5:J46">
      <x:formula1>"Yes,No,Needs review"</x:formula1>
    </x:dataValidation>
    <x:dataValidation type="list" sqref="K5:K46">
      <x:formula1>"Modernize / Consolidate into Unity,Fold into Unity / Shared Library,Fold into Unity / Merge with service,Retire / No Active Move,Assess First,Assess First / API Modernization,Assess First / Dashboard Candidate,BAU / Integration Review,BAU / VM Exception Review,DB Modernization / Assess First,Modernize / Cron-OCP,Modernize / Cron-OCP or DB Migration,Already Unity / Modern Platform,Infrastructure / Shared Dependency"</x:formula1>
    </x:dataValidation>
    <x:dataValidation type="list" sqref="L5:L46">
      <x:formula1>"Phase 1 candidate,Phase 2,BAU / vault-support review,BAU / platform proof,Shared dependency,Deprecate,Needs classification"</x:formula1>
    </x:dataValidation>
    <x:dataValidation type="list" sqref="M5:M46">
      <x:formula1>"High,Medium,Low,TBD"</x:formula1>
    </x:dataValidation>
    <x:dataValidation type="list" sqref="N5:N46">
      <x:formula1>"High,Medium,Low,Unknown,Needs review"</x:formula1>
    </x:dataValidation>
    <x:dataValidation type="list" sqref="O5:O46">
      <x:formula1>"High,Medium,Low,Needs review"</x:formula1>
    </x:dataValidation>
    <x:dataValidation type="list" sqref="P5:P46">
      <x:formula1>"1-2 Months,3-6 Months,7 Months-1 Year,2 sprints,5-6 sprints,Needs estimate,No active move"</x:formula1>
    </x:dataValidation>
    <x:dataValidation type="list" sqref="T5:T46">
      <x:formula1>"Not Started,In Progress,At Risk,Blocked,Waiting External,Complete,Deferred,Cancelled,Needs Validation"</x:formula1>
    </x:dataValidation>
    <x:dataValidation type="list" sqref="U5:U46">
      <x:formula1>"High,Medium,Low,Needs validation"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c2b38ad57649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22" hidden="0" customWidth="1"/>
    <x:col min="4" max="4" width="20" hidden="0" customWidth="1"/>
    <x:col min="5" max="5" width="30" hidden="0" customWidth="1"/>
    <x:col min="6" max="6" width="16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6" hidden="0" customWidth="1"/>
    <x:col min="13" max="13" width="13" hidden="0" customWidth="1"/>
    <x:col min="14" max="14" width="36" hidden="0" customWidth="1"/>
    <x:col min="15" max="15" width="14" hidden="0" customWidth="1"/>
    <x:col min="16" max="16" width="16" hidden="0" customWidth="1"/>
  </x:cols>
  <x:sheetData>
    <x:row r="1" ht="30" customHeight="1">
      <x:c r="A1" s="38" t="str">
        <x:v>Dependency Register</x:v>
      </x:c>
      <x:c r="B1" s="38" t="str">
        <x:v>Dependency Register</x:v>
      </x:c>
      <x:c r="C1" s="38" t="str">
        <x:v>Dependency Register</x:v>
      </x:c>
      <x:c r="D1" s="38" t="str">
        <x:v>Dependency Register</x:v>
      </x:c>
      <x:c r="E1" s="38" t="str">
        <x:v>Dependency Register</x:v>
      </x:c>
      <x:c r="F1" s="38" t="str">
        <x:v>Dependency Register</x:v>
      </x:c>
      <x:c r="G1" s="38" t="str">
        <x:v>Dependency Register</x:v>
      </x:c>
      <x:c r="H1" s="38" t="str">
        <x:v>Dependency Register</x:v>
      </x:c>
      <x:c r="I1" s="38" t="str">
        <x:v>Dependency Register</x:v>
      </x:c>
      <x:c r="J1" s="38" t="str">
        <x:v>Dependency Register</x:v>
      </x:c>
      <x:c r="K1" s="38" t="str">
        <x:v>Dependency Register</x:v>
      </x:c>
      <x:c r="L1" s="38" t="str">
        <x:v>Dependency Register</x:v>
      </x:c>
      <x:c r="M1" s="38" t="str">
        <x:v>Dependency Register</x:v>
      </x:c>
      <x:c r="N1" s="38" t="str">
        <x:v>Dependency Register</x:v>
      </x:c>
      <x:c r="O1" s="38" t="str">
        <x:v>Dependency Register</x:v>
      </x:c>
      <x:c r="P1" s="38" t="str">
        <x:v>Dependency Register</x:v>
      </x:c>
    </x:row>
    <x:row r="2" ht="34" customHeight="1">
      <x:c r="A2" s="39" t="str">
        <x:v>Track outside-team work separately from CVIS-owned execution so blockers are visible without being vague.</x:v>
      </x:c>
      <x:c r="B2" s="39" t="str">
        <x:v>Track outside-team work separately from CVIS-owned execution so blockers are visible without being vague.</x:v>
      </x:c>
      <x:c r="C2" s="39" t="str">
        <x:v>Track outside-team work separately from CVIS-owned execution so blockers are visible without being vague.</x:v>
      </x:c>
      <x:c r="D2" s="39" t="str">
        <x:v>Track outside-team work separately from CVIS-owned execution so blockers are visible without being vague.</x:v>
      </x:c>
      <x:c r="E2" s="39" t="str">
        <x:v>Track outside-team work separately from CVIS-owned execution so blockers are visible without being vague.</x:v>
      </x:c>
      <x:c r="F2" s="39" t="str">
        <x:v>Track outside-team work separately from CVIS-owned execution so blockers are visible without being vague.</x:v>
      </x:c>
      <x:c r="G2" s="39" t="str">
        <x:v>Track outside-team work separately from CVIS-owned execution so blockers are visible without being vague.</x:v>
      </x:c>
      <x:c r="H2" s="39" t="str">
        <x:v>Track outside-team work separately from CVIS-owned execution so blockers are visible without being vague.</x:v>
      </x:c>
      <x:c r="I2" s="39" t="str">
        <x:v>Track outside-team work separately from CVIS-owned execution so blockers are visible without being vague.</x:v>
      </x:c>
      <x:c r="J2" s="39" t="str">
        <x:v>Track outside-team work separately from CVIS-owned execution so blockers are visible without being vague.</x:v>
      </x:c>
      <x:c r="K2" s="39" t="str">
        <x:v>Track outside-team work separately from CVIS-owned execution so blockers are visible without being vague.</x:v>
      </x:c>
      <x:c r="L2" s="39" t="str">
        <x:v>Track outside-team work separately from CVIS-owned execution so blockers are visible without being vague.</x:v>
      </x:c>
      <x:c r="M2" s="39" t="str">
        <x:v>Track outside-team work separately from CVIS-owned execution so blockers are visible without being vague.</x:v>
      </x:c>
      <x:c r="N2" s="39" t="str">
        <x:v>Track outside-team work separately from CVIS-owned execution so blockers are visible without being vague.</x:v>
      </x:c>
      <x:c r="O2" s="39" t="str">
        <x:v>Track outside-team work separately from CVIS-owned execution so blockers are visible without being vague.</x:v>
      </x:c>
      <x:c r="P2" s="39" t="str">
        <x:v>Track outside-team work separately from CVIS-owned execution so blockers are visible without being vague.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</x:row>
    <x:row r="4" ht="34" customHeight="1">
      <x:c r="A4" s="44" t="str">
        <x:v>Dependency ID</x:v>
      </x:c>
      <x:c r="B4" s="44" t="str">
        <x:v>Dependency</x:v>
      </x:c>
      <x:c r="C4" s="44" t="str">
        <x:v>Dependency Type</x:v>
      </x:c>
      <x:c r="D4" s="44" t="str">
        <x:v>Owning Team</x:v>
      </x:c>
      <x:c r="E4" s="44" t="str">
        <x:v>Needed For</x:v>
      </x:c>
      <x:c r="F4" s="44" t="str">
        <x:v>CVIS Owner</x:v>
      </x:c>
      <x:c r="G4" s="44" t="str">
        <x:v>Request Status</x:v>
      </x:c>
      <x:c r="H4" s="44" t="str">
        <x:v>Submitted Date</x:v>
      </x:c>
      <x:c r="I4" s="44" t="str">
        <x:v>Needed By</x:v>
      </x:c>
      <x:c r="J4" s="44" t="str">
        <x:v>Expected Lead Days</x:v>
      </x:c>
      <x:c r="K4" s="44" t="str">
        <x:v>Forecast Completion</x:v>
      </x:c>
      <x:c r="L4" s="44" t="str">
        <x:v>Current Status</x:v>
      </x:c>
      <x:c r="M4" s="44" t="str">
        <x:v>Days Until Needed</x:v>
      </x:c>
      <x:c r="N4" s="44" t="str">
        <x:v>Impact If Late</x:v>
      </x:c>
      <x:c r="O4" s="44" t="str">
        <x:v>Escalation Date</x:v>
      </x:c>
      <x:c r="P4" s="44" t="str">
        <x:v>Escalation Needed?</x:v>
      </x:c>
    </x:row>
    <x:row r="5">
      <x:c r="A5" s="15" t="str">
        <x:v>DEP-001</x:v>
      </x:c>
      <x:c r="B5" s="15" t="str">
        <x:v>Container platform onboarding</x:v>
      </x:c>
      <x:c r="C5" s="15" t="str">
        <x:v>Platform / Containers</x:v>
      </x:c>
      <x:c r="D5" s="15" t="str">
        <x:v>Platform Team</x:v>
      </x:c>
      <x:c r="E5" s="15" t="str">
        <x:v>Unity deployment / pilot migration</x:v>
      </x:c>
      <x:c r="F5" s="15" t="str">
        <x:v>CVIS</x:v>
      </x:c>
      <x:c r="G5" s="15" t="str">
        <x:v>On Hold</x:v>
      </x:c>
      <x:c r="H5" s="20"/>
      <x:c r="I5" s="20" t="n">
        <x:v>46261</x:v>
      </x:c>
      <x:c r="J5" s="19" t="n">
        <x:f>IFERROR(INDEX('Assumptions'!$J$5:$J$22,MATCH(C5,'Assumptions'!$I$5:$I$22,0)),"")</x:f>
        <x:v>10</x:v>
      </x:c>
      <x:c r="K5" s="20" t="str">
        <x:f>IF(OR(H5="",J5=""),"",WORKDAY(H5,J5,'Assumptions'!$M$5:$M$24))</x:f>
      </x:c>
      <x:c r="L5" s="15" t="str">
        <x:v>Waiting External</x:v>
      </x:c>
      <x:c r="M5" s="19" t="n">
        <x:f>IF(I5="","",I5-TODAY())</x:f>
        <x:v>11</x:v>
      </x:c>
      <x:c r="N5" s="15" t="str">
        <x:v>Pilot cannot deploy to target platform until PtB clears resource request gate</x:v>
      </x:c>
      <x:c r="O5" s="20" t="n">
        <x:v>46256</x:v>
      </x:c>
      <x:c r="P5" s="15" t="str">
        <x:f>IF(AND(L5&lt;&gt;"Complete",O5&lt;&gt;"",TODAY()&gt;=O5),"Yes","No")</x:f>
        <x:v>No</x:v>
      </x:c>
    </x:row>
    <x:row r="6">
      <x:c r="A6" s="15" t="str">
        <x:v>DEP-002</x:v>
      </x:c>
      <x:c r="B6" s="15" t="str">
        <x:v>Apigee onboarding</x:v>
      </x:c>
      <x:c r="C6" s="15" t="str">
        <x:v>Apigee / API</x:v>
      </x:c>
      <x:c r="D6" s="15" t="str">
        <x:v>API Team</x:v>
      </x:c>
      <x:c r="E6" s="15" t="str">
        <x:v>API exposure pattern and DB-facing APIs</x:v>
      </x:c>
      <x:c r="F6" s="15" t="str">
        <x:v>CVIS</x:v>
      </x:c>
      <x:c r="G6" s="15" t="str">
        <x:v>On Hold</x:v>
      </x:c>
      <x:c r="H6" s="20"/>
      <x:c r="I6" s="20" t="n">
        <x:v>46261</x:v>
      </x:c>
      <x:c r="J6" s="19" t="n">
        <x:f>IFERROR(INDEX('Assumptions'!$J$5:$J$22,MATCH(C6,'Assumptions'!$I$5:$I$22,0)),"")</x:f>
        <x:v>10</x:v>
      </x:c>
      <x:c r="K6" s="20" t="str">
        <x:f>IF(OR(H6="",J6=""),"",WORKDAY(H6,J6,'Assumptions'!$M$5:$M$24))</x:f>
      </x:c>
      <x:c r="L6" s="15" t="str">
        <x:v>Waiting External</x:v>
      </x:c>
      <x:c r="M6" s="19" t="n">
        <x:f>IF(I6="","",I6-TODAY())</x:f>
        <x:v>11</x:v>
      </x:c>
      <x:c r="N6" s="15" t="str">
        <x:v>API-dependent apps and DB API exposure cannot complete until PtB clears request gate</x:v>
      </x:c>
      <x:c r="O6" s="20" t="n">
        <x:v>46256</x:v>
      </x:c>
      <x:c r="P6" s="15" t="str">
        <x:f>IF(AND(L6&lt;&gt;"Complete",O6&lt;&gt;"",TODAY()&gt;=O6),"Yes","No")</x:f>
        <x:v>No</x:v>
      </x:c>
    </x:row>
    <x:row r="7">
      <x:c r="A7" s="15" t="str">
        <x:v>DEP-003</x:v>
      </x:c>
      <x:c r="B7" s="15" t="str">
        <x:v>Enterprise architecture approval</x:v>
      </x:c>
      <x:c r="C7" s="15" t="str">
        <x:v>Architecture</x:v>
      </x:c>
      <x:c r="D7" s="15" t="str">
        <x:v>Architecture</x:v>
      </x:c>
      <x:c r="E7" s="15" t="str">
        <x:v>Unity reference pattern and NFRs</x:v>
      </x:c>
      <x:c r="F7" s="15" t="str">
        <x:v>CVIS</x:v>
      </x:c>
      <x:c r="G7" s="15" t="str">
        <x:v>In Draft</x:v>
      </x:c>
      <x:c r="H7" s="20"/>
      <x:c r="I7" s="20" t="n">
        <x:v>46259</x:v>
      </x:c>
      <x:c r="J7" s="19" t="n">
        <x:f>IFERROR(INDEX('Assumptions'!$J$5:$J$22,MATCH(C7,'Assumptions'!$I$5:$I$22,0)),"")</x:f>
        <x:v>7</x:v>
      </x:c>
      <x:c r="K7" s="20" t="str">
        <x:f>IF(OR(H7="",J7=""),"",WORKDAY(H7,J7,'Assumptions'!$M$5:$M$24))</x:f>
      </x:c>
      <x:c r="L7" s="15" t="str">
        <x:v>In Progress</x:v>
      </x:c>
      <x:c r="M7" s="19" t="n">
        <x:f>IF(I7="","",I7-TODAY())</x:f>
        <x:v>9</x:v>
      </x:c>
      <x:c r="N7" s="15" t="str">
        <x:v>Migration pattern cannot be approved</x:v>
      </x:c>
      <x:c r="O7" s="20" t="n">
        <x:v>46255</x:v>
      </x:c>
      <x:c r="P7" s="15" t="str">
        <x:f>IF(AND(L7&lt;&gt;"Complete",O7&lt;&gt;"",TODAY()&gt;=O7),"Yes","No")</x:f>
        <x:v>No</x:v>
      </x:c>
    </x:row>
    <x:row r="8">
      <x:c r="A8" s="15" t="str">
        <x:v>DEP-004</x:v>
      </x:c>
      <x:c r="B8" s="15" t="str">
        <x:v>CyberArk test access / validation support</x:v>
      </x:c>
      <x:c r="C8" s="15" t="str">
        <x:v>CyberArk Access</x:v>
      </x:c>
      <x:c r="D8" s="15" t="str">
        <x:v>CyberArk Team</x:v>
      </x:c>
      <x:c r="E8" s="15" t="str">
        <x:v>Pilot discovery and validation</x:v>
      </x:c>
      <x:c r="F8" s="15" t="str">
        <x:v>CVIS</x:v>
      </x:c>
      <x:c r="G8" s="15" t="str">
        <x:v>To Confirm</x:v>
      </x:c>
      <x:c r="H8" s="20"/>
      <x:c r="I8" s="20" t="n">
        <x:v>46257</x:v>
      </x:c>
      <x:c r="J8" s="19" t="n">
        <x:f>IFERROR(INDEX('Assumptions'!$J$5:$J$22,MATCH(C8,'Assumptions'!$I$5:$I$22,0)),"")</x:f>
        <x:v>5</x:v>
      </x:c>
      <x:c r="K8" s="20" t="str">
        <x:f>IF(OR(H8="",J8=""),"",WORKDAY(H8,J8,'Assumptions'!$M$5:$M$24))</x:f>
      </x:c>
      <x:c r="L8" s="15" t="str">
        <x:v>At Risk</x:v>
      </x:c>
      <x:c r="M8" s="19" t="n">
        <x:f>IF(I8="","",I8-TODAY())</x:f>
        <x:v>7</x:v>
      </x:c>
      <x:c r="N8" s="15" t="str">
        <x:v>Pilot cannot validate actual vault behavior</x:v>
      </x:c>
      <x:c r="O8" s="20" t="n">
        <x:v>46254</x:v>
      </x:c>
      <x:c r="P8" s="15" t="str">
        <x:f>IF(AND(L8&lt;&gt;"Complete",O8&lt;&gt;"",TODAY()&gt;=O8),"Yes","No")</x:f>
        <x:v>No</x:v>
      </x:c>
    </x:row>
    <x:row r="9">
      <x:c r="A9" s="15" t="str">
        <x:v>DEP-005</x:v>
      </x:c>
      <x:c r="B9" s="15" t="str">
        <x:v>Devin access and setup</x:v>
      </x:c>
      <x:c r="C9" s="15" t="str">
        <x:v>Devin</x:v>
      </x:c>
      <x:c r="D9" s="15" t="str">
        <x:v>Development Platform Team</x:v>
      </x:c>
      <x:c r="E9" s="15" t="str">
        <x:v>AI/dev environment for modernization</x:v>
      </x:c>
      <x:c r="F9" s="15" t="str">
        <x:v>CVIS</x:v>
      </x:c>
      <x:c r="G9" s="15" t="str">
        <x:v>To Submit</x:v>
      </x:c>
      <x:c r="H9" s="20"/>
      <x:c r="I9" s="20" t="n">
        <x:v>46259</x:v>
      </x:c>
      <x:c r="J9" s="19" t="n">
        <x:f>IFERROR(INDEX('Assumptions'!$J$5:$J$22,MATCH(C9,'Assumptions'!$I$5:$I$22,0)),"")</x:f>
        <x:v>5</x:v>
      </x:c>
      <x:c r="K9" s="20" t="str">
        <x:f>IF(OR(H9="",J9=""),"",WORKDAY(H9,J9,'Assumptions'!$M$5:$M$24))</x:f>
      </x:c>
      <x:c r="L9" s="15" t="str">
        <x:v>To do</x:v>
      </x:c>
      <x:c r="M9" s="19" t="n">
        <x:f>IF(I9="","",I9-TODAY())</x:f>
        <x:v>9</x:v>
      </x:c>
      <x:c r="N9" s="15" t="str">
        <x:v>Developers cannot prepare repeatable modernization workspace</x:v>
      </x:c>
      <x:c r="O9" s="20" t="n">
        <x:v>46255</x:v>
      </x:c>
      <x:c r="P9" s="15" t="str">
        <x:f>IF(AND(L9&lt;&gt;"Complete",O9&lt;&gt;"",TODAY()&gt;=O9),"Yes","No")</x:f>
        <x:v>No</x:v>
      </x:c>
    </x:row>
    <x:row r="10">
      <x:c r="A10" s="15" t="str">
        <x:v>DEP-006</x:v>
      </x:c>
      <x:c r="B10" s="15" t="str">
        <x:v>Kafka access and setup</x:v>
      </x:c>
      <x:c r="C10" s="15" t="str">
        <x:v>Kafka</x:v>
      </x:c>
      <x:c r="D10" s="15" t="str">
        <x:v>Kafka Team</x:v>
      </x:c>
      <x:c r="E10" s="15" t="str">
        <x:v>Messaging/event streaming for Unity platform</x:v>
      </x:c>
      <x:c r="F10" s="15" t="str">
        <x:v>CVIS</x:v>
      </x:c>
      <x:c r="G10" s="15" t="str">
        <x:v>To Submit</x:v>
      </x:c>
      <x:c r="H10" s="20"/>
      <x:c r="I10" s="20" t="n">
        <x:v>46273</x:v>
      </x:c>
      <x:c r="J10" s="19" t="n">
        <x:f>IFERROR(INDEX('Assumptions'!$J$5:$J$22,MATCH(C10,'Assumptions'!$I$5:$I$22,0)),"")</x:f>
        <x:v>10</x:v>
      </x:c>
      <x:c r="K10" s="20" t="str">
        <x:f>IF(OR(H10="",J10=""),"",WORKDAY(H10,J10,'Assumptions'!$M$5:$M$24))</x:f>
      </x:c>
      <x:c r="L10" s="15" t="str">
        <x:v>To do</x:v>
      </x:c>
      <x:c r="M10" s="19" t="n">
        <x:f>IF(I10="","",I10-TODAY())</x:f>
        <x:v>23</x:v>
      </x:c>
      <x:c r="N10" s="15" t="str">
        <x:v>Messaging layer and workflow integration may slip</x:v>
      </x:c>
      <x:c r="O10" s="20" t="n">
        <x:v>46263</x:v>
      </x:c>
      <x:c r="P10" s="15" t="str">
        <x:f>IF(AND(L10&lt;&gt;"Complete",O10&lt;&gt;"",TODAY()&gt;=O10),"Yes","No")</x:f>
        <x:v>No</x:v>
      </x:c>
    </x:row>
    <x:row r="11">
      <x:c r="A11" s="15" t="str">
        <x:v>DEP-007</x:v>
      </x:c>
      <x:c r="B11" s="15" t="str">
        <x:v>Splunk access and setup</x:v>
      </x:c>
      <x:c r="C11" s="15" t="str">
        <x:v>Splunk</x:v>
      </x:c>
      <x:c r="D11" s="15" t="str">
        <x:v>Splunk Team</x:v>
      </x:c>
      <x:c r="E11" s="15" t="str">
        <x:v>Logging, search, dashboards, alert visibility</x:v>
      </x:c>
      <x:c r="F11" s="15" t="str">
        <x:v>CVIS</x:v>
      </x:c>
      <x:c r="G11" s="15" t="str">
        <x:v>To Submit</x:v>
      </x:c>
      <x:c r="H11" s="20"/>
      <x:c r="I11" s="20" t="n">
        <x:v>46273</x:v>
      </x:c>
      <x:c r="J11" s="19" t="n">
        <x:f>IFERROR(INDEX('Assumptions'!$J$5:$J$22,MATCH(C11,'Assumptions'!$I$5:$I$22,0)),"")</x:f>
        <x:v>7</x:v>
      </x:c>
      <x:c r="K11" s="20" t="str">
        <x:f>IF(OR(H11="",J11=""),"",WORKDAY(H11,J11,'Assumptions'!$M$5:$M$24))</x:f>
      </x:c>
      <x:c r="L11" s="15" t="str">
        <x:v>To do</x:v>
      </x:c>
      <x:c r="M11" s="19" t="n">
        <x:f>IF(I11="","",I11-TODAY())</x:f>
        <x:v>23</x:v>
      </x:c>
      <x:c r="N11" s="15" t="str">
        <x:v>NFR observability evidence cannot complete</x:v>
      </x:c>
      <x:c r="O11" s="20" t="n">
        <x:v>46263</x:v>
      </x:c>
      <x:c r="P11" s="15" t="str">
        <x:f>IF(AND(L11&lt;&gt;"Complete",O11&lt;&gt;"",TODAY()&gt;=O11),"Yes","No")</x:f>
        <x:v>No</x:v>
      </x:c>
    </x:row>
    <x:row r="12">
      <x:c r="A12" s="15" t="str">
        <x:v>DEP-008</x:v>
      </x:c>
      <x:c r="B12" s="15" t="str">
        <x:v>Harness access and setup</x:v>
      </x:c>
      <x:c r="C12" s="15" t="str">
        <x:v>Harness</x:v>
      </x:c>
      <x:c r="D12" s="15" t="str">
        <x:v>Harness / EPL-X Team</x:v>
      </x:c>
      <x:c r="E12" s="15" t="str">
        <x:v>Deployment pipeline and EPL-X deployment path</x:v>
      </x:c>
      <x:c r="F12" s="15" t="str">
        <x:v>CVIS</x:v>
      </x:c>
      <x:c r="G12" s="15" t="str">
        <x:v>To Submit</x:v>
      </x:c>
      <x:c r="H12" s="20"/>
      <x:c r="I12" s="20" t="n">
        <x:v>46273</x:v>
      </x:c>
      <x:c r="J12" s="19" t="n">
        <x:f>IFERROR(INDEX('Assumptions'!$J$5:$J$22,MATCH(C12,'Assumptions'!$I$5:$I$22,0)),"")</x:f>
        <x:v>7</x:v>
      </x:c>
      <x:c r="K12" s="20" t="str">
        <x:f>IF(OR(H12="",J12=""),"",WORKDAY(H12,J12,'Assumptions'!$M$5:$M$24))</x:f>
      </x:c>
      <x:c r="L12" s="15" t="str">
        <x:v>To do</x:v>
      </x:c>
      <x:c r="M12" s="19" t="n">
        <x:f>IF(I12="","",I12-TODAY())</x:f>
        <x:v>23</x:v>
      </x:c>
      <x:c r="N12" s="15" t="str">
        <x:v>Automated deployment path may slip</x:v>
      </x:c>
      <x:c r="O12" s="20" t="n">
        <x:v>46263</x:v>
      </x:c>
      <x:c r="P12" s="15" t="str">
        <x:f>IF(AND(L12&lt;&gt;"Complete",O12&lt;&gt;"",TODAY()&gt;=O12),"Yes","No")</x:f>
        <x:v>No</x:v>
      </x:c>
    </x:row>
    <x:row r="13">
      <x:c r="A13" s="15" t="str">
        <x:v>DEP-009</x:v>
      </x:c>
      <x:c r="B13" s="15" t="str">
        <x:v>HyperExecute access and setup</x:v>
      </x:c>
      <x:c r="C13" s="15" t="str">
        <x:v>HyperExecute</x:v>
      </x:c>
      <x:c r="D13" s="15" t="str">
        <x:v>Automated Testing Team</x:v>
      </x:c>
      <x:c r="E13" s="15" t="str">
        <x:v>Automated testing execution</x:v>
      </x:c>
      <x:c r="F13" s="15" t="str">
        <x:v>CVIS</x:v>
      </x:c>
      <x:c r="G13" s="15" t="str">
        <x:v>To Submit</x:v>
      </x:c>
      <x:c r="H13" s="20"/>
      <x:c r="I13" s="20" t="n">
        <x:v>46287</x:v>
      </x:c>
      <x:c r="J13" s="19" t="n">
        <x:f>IFERROR(INDEX('Assumptions'!$J$5:$J$22,MATCH(C13,'Assumptions'!$I$5:$I$22,0)),"")</x:f>
        <x:v>7</x:v>
      </x:c>
      <x:c r="K13" s="20" t="str">
        <x:f>IF(OR(H13="",J13=""),"",WORKDAY(H13,J13,'Assumptions'!$M$5:$M$24))</x:f>
      </x:c>
      <x:c r="L13" s="15" t="str">
        <x:v>To do</x:v>
      </x:c>
      <x:c r="M13" s="19" t="n">
        <x:f>IF(I13="","",I13-TODAY())</x:f>
        <x:v>37</x:v>
      </x:c>
      <x:c r="N13" s="15" t="str">
        <x:v>Automated testing path may not be ready for validation</x:v>
      </x:c>
      <x:c r="O13" s="20" t="n">
        <x:v>46275</x:v>
      </x:c>
      <x:c r="P13" s="15" t="str">
        <x:f>IF(AND(L13&lt;&gt;"Complete",O13&lt;&gt;"",TODAY()&gt;=O13),"Yes","No")</x:f>
        <x:v>No</x:v>
      </x:c>
    </x:row>
    <x:row r="14">
      <x:c r="A14" s="15" t="str">
        <x:v>DEP-010</x:v>
      </x:c>
      <x:c r="B14" s="15" t="str">
        <x:v>CyberArk DEV access and account setup</x:v>
      </x:c>
      <x:c r="C14" s="15" t="str">
        <x:v>CyberArk DEV</x:v>
      </x:c>
      <x:c r="D14" s="15" t="str">
        <x:v>CyberArk Team</x:v>
      </x:c>
      <x:c r="E14" s="15" t="str">
        <x:v>DEV vault access, safes, account retrieval, integration validation</x:v>
      </x:c>
      <x:c r="F14" s="15" t="str">
        <x:v>CVIS</x:v>
      </x:c>
      <x:c r="G14" s="15" t="str">
        <x:v>To Submit</x:v>
      </x:c>
      <x:c r="H14" s="20"/>
      <x:c r="I14" s="20" t="n">
        <x:v>46259</x:v>
      </x:c>
      <x:c r="J14" s="19" t="n">
        <x:f>IFERROR(INDEX('Assumptions'!$J$5:$J$22,MATCH(C14,'Assumptions'!$I$5:$I$22,0)),"")</x:f>
        <x:v>5</x:v>
      </x:c>
      <x:c r="K14" s="20" t="str">
        <x:f>IF(OR(H14="",J14=""),"",WORKDAY(H14,J14,'Assumptions'!$M$5:$M$24))</x:f>
      </x:c>
      <x:c r="L14" s="15" t="str">
        <x:v>To do</x:v>
      </x:c>
      <x:c r="M14" s="19" t="n">
        <x:f>IF(I14="","",I14-TODAY())</x:f>
        <x:v>9</x:v>
      </x:c>
      <x:c r="N14" s="15" t="str">
        <x:v>Pilot discovery and validation cannot proceed</x:v>
      </x:c>
      <x:c r="O14" s="20" t="n">
        <x:v>46255</x:v>
      </x:c>
      <x:c r="P14" s="15" t="str">
        <x:f>IF(AND(L14&lt;&gt;"Complete",O14&lt;&gt;"",TODAY()&gt;=O14),"Yes","No")</x:f>
        <x:v>No</x:v>
      </x:c>
    </x:row>
    <x:row r="15">
      <x:c r="A15" s="15" t="str">
        <x:v>DEP-011</x:v>
      </x:c>
      <x:c r="B15" s="15" t="str">
        <x:v>DEV and QA environment account requests</x:v>
      </x:c>
      <x:c r="C15" s="15" t="str">
        <x:v>Environment Accounts</x:v>
      </x:c>
      <x:c r="D15" s="15" t="str">
        <x:v>Environment / Access Team</x:v>
      </x:c>
      <x:c r="E15" s="15" t="str">
        <x:v>Service, application, API, and shared accounts</x:v>
      </x:c>
      <x:c r="F15" s="15" t="str">
        <x:v>CVIS</x:v>
      </x:c>
      <x:c r="G15" s="15" t="str">
        <x:v>To Submit</x:v>
      </x:c>
      <x:c r="H15" s="20"/>
      <x:c r="I15" s="20" t="n">
        <x:v>46273</x:v>
      </x:c>
      <x:c r="J15" s="19" t="n">
        <x:f>IFERROR(INDEX('Assumptions'!$J$5:$J$22,MATCH(C15,'Assumptions'!$I$5:$I$22,0)),"")</x:f>
        <x:v>5</x:v>
      </x:c>
      <x:c r="K15" s="20" t="str">
        <x:f>IF(OR(H15="",J15=""),"",WORKDAY(H15,J15,'Assumptions'!$M$5:$M$24))</x:f>
      </x:c>
      <x:c r="L15" s="15" t="str">
        <x:v>To do</x:v>
      </x:c>
      <x:c r="M15" s="19" t="n">
        <x:f>IF(I15="","",I15-TODAY())</x:f>
        <x:v>23</x:v>
      </x:c>
      <x:c r="N15" s="15" t="str">
        <x:v>Environment-specific testing may be blocked</x:v>
      </x:c>
      <x:c r="O15" s="20" t="n">
        <x:v>46263</x:v>
      </x:c>
      <x:c r="P15" s="15" t="str">
        <x:f>IF(AND(L15&lt;&gt;"Complete",O15&lt;&gt;"",TODAY()&gt;=O15),"Yes","No")</x:f>
        <x:v>No</x:v>
      </x:c>
    </x:row>
    <x:row r="16">
      <x:c r="A16" s="15" t="str">
        <x:v>DEP-012</x:v>
      </x:c>
      <x:c r="B16" s="15" t="str">
        <x:v>DB / SSIS consumer coordination</x:v>
      </x:c>
      <x:c r="C16" s="15" t="str">
        <x:v>Database</x:v>
      </x:c>
      <x:c r="D16" s="15" t="str">
        <x:v>ESAR / MCC</x:v>
      </x:c>
      <x:c r="E16" s="15" t="str">
        <x:v>Two SSIS packages consuming CVIS data</x:v>
      </x:c>
      <x:c r="F16" s="15" t="str">
        <x:v>CVIS</x:v>
      </x:c>
      <x:c r="G16" s="15" t="str">
        <x:v>To Confirm</x:v>
      </x:c>
      <x:c r="H16" s="20"/>
      <x:c r="I16" s="20" t="n">
        <x:v>46257</x:v>
      </x:c>
      <x:c r="J16" s="19" t="n">
        <x:f>IFERROR(INDEX('Assumptions'!$J$5:$J$22,MATCH(C16,'Assumptions'!$I$5:$I$22,0)),"")</x:f>
        <x:v>5</x:v>
      </x:c>
      <x:c r="K16" s="20" t="str">
        <x:f>IF(OR(H16="",J16=""),"",WORKDAY(H16,J16,'Assumptions'!$M$5:$M$24))</x:f>
      </x:c>
      <x:c r="L16" s="15" t="str">
        <x:v>In Progress</x:v>
      </x:c>
      <x:c r="M16" s="19" t="n">
        <x:f>IF(I16="","",I16-TODAY())</x:f>
        <x:v>7</x:v>
      </x:c>
      <x:c r="N16" s="15" t="str">
        <x:v>Consumers need notice and API transition path but do not appear to block Unity design</x:v>
      </x:c>
      <x:c r="O16" s="20" t="n">
        <x:v>46254</x:v>
      </x:c>
      <x:c r="P16" s="15" t="str">
        <x:f>IF(AND(L16&lt;&gt;"Complete",O16&lt;&gt;"",TODAY()&gt;=O16),"Yes","No")</x:f>
        <x:v>No</x:v>
      </x:c>
    </x:row>
    <x:row r="17">
      <x:c r="A17" s="15"/>
      <x:c r="B17" s="15"/>
      <x:c r="C17" s="15"/>
      <x:c r="D17" s="15"/>
      <x:c r="E17" s="15"/>
      <x:c r="F17" s="15"/>
      <x:c r="G17" s="15"/>
      <x:c r="H17" s="20"/>
      <x:c r="I17" s="20"/>
      <x:c r="J17" s="19" t="str">
        <x:f>IFERROR(INDEX('Assumptions'!$J$5:$J$22,MATCH(C17,'Assumptions'!$I$5:$I$22,0)),"")</x:f>
      </x:c>
      <x:c r="K17" s="20" t="str">
        <x:f>IF(OR(H17="",J17=""),"",WORKDAY(H17,J17,'Assumptions'!$M$5:$M$24))</x:f>
      </x:c>
      <x:c r="L17" s="15"/>
      <x:c r="M17" s="19" t="str">
        <x:f>IF(I17="","",I17-TODAY())</x:f>
      </x:c>
      <x:c r="N17" s="15"/>
      <x:c r="O17" s="20"/>
      <x:c r="P17" s="15" t="str">
        <x:f>IF(AND(L17&lt;&gt;"Complete",O17&lt;&gt;"",TODAY()&gt;=O17),"Yes","No")</x:f>
        <x:v>No</x:v>
      </x:c>
    </x:row>
    <x:row r="18">
      <x:c r="A18" s="15"/>
      <x:c r="B18" s="15"/>
      <x:c r="C18" s="15"/>
      <x:c r="D18" s="15"/>
      <x:c r="E18" s="15"/>
      <x:c r="F18" s="15"/>
      <x:c r="G18" s="15"/>
      <x:c r="H18" s="20"/>
      <x:c r="I18" s="20"/>
      <x:c r="J18" s="19" t="str">
        <x:f>IFERROR(INDEX('Assumptions'!$J$5:$J$22,MATCH(C18,'Assumptions'!$I$5:$I$22,0)),"")</x:f>
      </x:c>
      <x:c r="K18" s="20" t="str">
        <x:f>IF(OR(H18="",J18=""),"",WORKDAY(H18,J18,'Assumptions'!$M$5:$M$24))</x:f>
      </x:c>
      <x:c r="L18" s="15"/>
      <x:c r="M18" s="19" t="str">
        <x:f>IF(I18="","",I18-TODAY())</x:f>
      </x:c>
      <x:c r="N18" s="15"/>
      <x:c r="O18" s="20"/>
      <x:c r="P18" s="15" t="str">
        <x:f>IF(AND(L18&lt;&gt;"Complete",O18&lt;&gt;"",TODAY()&gt;=O18),"Yes","No")</x:f>
        <x:v>No</x:v>
      </x:c>
    </x:row>
    <x:row r="19">
      <x:c r="A19" s="15"/>
      <x:c r="B19" s="15"/>
      <x:c r="C19" s="15"/>
      <x:c r="D19" s="15"/>
      <x:c r="E19" s="15"/>
      <x:c r="F19" s="15"/>
      <x:c r="G19" s="15"/>
      <x:c r="H19" s="20"/>
      <x:c r="I19" s="20"/>
      <x:c r="J19" s="19" t="str">
        <x:f>IFERROR(INDEX('Assumptions'!$J$5:$J$22,MATCH(C19,'Assumptions'!$I$5:$I$22,0)),"")</x:f>
      </x:c>
      <x:c r="K19" s="20" t="str">
        <x:f>IF(OR(H19="",J19=""),"",WORKDAY(H19,J19,'Assumptions'!$M$5:$M$24))</x:f>
      </x:c>
      <x:c r="L19" s="15"/>
      <x:c r="M19" s="19" t="str">
        <x:f>IF(I19="","",I19-TODAY())</x:f>
      </x:c>
      <x:c r="N19" s="15"/>
      <x:c r="O19" s="20"/>
      <x:c r="P19" s="15" t="str">
        <x:f>IF(AND(L19&lt;&gt;"Complete",O19&lt;&gt;"",TODAY()&gt;=O19),"Yes","No")</x:f>
        <x:v>No</x:v>
      </x:c>
    </x:row>
    <x:row r="20">
      <x:c r="A20" s="15"/>
      <x:c r="B20" s="15"/>
      <x:c r="C20" s="15"/>
      <x:c r="D20" s="15"/>
      <x:c r="E20" s="15"/>
      <x:c r="F20" s="15"/>
      <x:c r="G20" s="15"/>
      <x:c r="H20" s="20"/>
      <x:c r="I20" s="20"/>
      <x:c r="J20" s="19" t="str">
        <x:f>IFERROR(INDEX('Assumptions'!$J$5:$J$22,MATCH(C20,'Assumptions'!$I$5:$I$22,0)),"")</x:f>
      </x:c>
      <x:c r="K20" s="20" t="str">
        <x:f>IF(OR(H20="",J20=""),"",WORKDAY(H20,J20,'Assumptions'!$M$5:$M$24))</x:f>
      </x:c>
      <x:c r="L20" s="15"/>
      <x:c r="M20" s="19" t="str">
        <x:f>IF(I20="","",I20-TODAY())</x:f>
      </x:c>
      <x:c r="N20" s="15"/>
      <x:c r="O20" s="20"/>
      <x:c r="P20" s="15" t="str">
        <x:f>IF(AND(L20&lt;&gt;"Complete",O20&lt;&gt;"",TODAY()&gt;=O20),"Yes","No")</x:f>
        <x:v>No</x:v>
      </x:c>
    </x:row>
    <x:row r="21">
      <x:c r="A21" s="15"/>
      <x:c r="B21" s="15"/>
      <x:c r="C21" s="15"/>
      <x:c r="D21" s="15"/>
      <x:c r="E21" s="15"/>
      <x:c r="F21" s="15"/>
      <x:c r="G21" s="15"/>
      <x:c r="H21" s="20"/>
      <x:c r="I21" s="20"/>
      <x:c r="J21" s="19" t="str">
        <x:f>IFERROR(INDEX('Assumptions'!$J$5:$J$22,MATCH(C21,'Assumptions'!$I$5:$I$22,0)),"")</x:f>
      </x:c>
      <x:c r="K21" s="20" t="str">
        <x:f>IF(OR(H21="",J21=""),"",WORKDAY(H21,J21,'Assumptions'!$M$5:$M$24))</x:f>
      </x:c>
      <x:c r="L21" s="15"/>
      <x:c r="M21" s="19" t="str">
        <x:f>IF(I21="","",I21-TODAY())</x:f>
      </x:c>
      <x:c r="N21" s="15"/>
      <x:c r="O21" s="20"/>
      <x:c r="P21" s="15" t="str">
        <x:f>IF(AND(L21&lt;&gt;"Complete",O21&lt;&gt;"",TODAY()&gt;=O21),"Yes","No")</x:f>
        <x:v>No</x:v>
      </x:c>
    </x:row>
    <x:row r="22">
      <x:c r="A22" s="15"/>
      <x:c r="B22" s="15"/>
      <x:c r="C22" s="15"/>
      <x:c r="D22" s="15"/>
      <x:c r="E22" s="15"/>
      <x:c r="F22" s="15"/>
      <x:c r="G22" s="15"/>
      <x:c r="H22" s="20"/>
      <x:c r="I22" s="20"/>
      <x:c r="J22" s="19" t="str">
        <x:f>IFERROR(INDEX('Assumptions'!$J$5:$J$22,MATCH(C22,'Assumptions'!$I$5:$I$22,0)),"")</x:f>
      </x:c>
      <x:c r="K22" s="20" t="str">
        <x:f>IF(OR(H22="",J22=""),"",WORKDAY(H22,J22,'Assumptions'!$M$5:$M$24))</x:f>
      </x:c>
      <x:c r="L22" s="15"/>
      <x:c r="M22" s="19" t="str">
        <x:f>IF(I22="","",I22-TODAY())</x:f>
      </x:c>
      <x:c r="N22" s="15"/>
      <x:c r="O22" s="20"/>
      <x:c r="P22" s="15" t="str">
        <x:f>IF(AND(L22&lt;&gt;"Complete",O22&lt;&gt;"",TODAY()&gt;=O22),"Yes","No")</x:f>
        <x:v>No</x:v>
      </x:c>
    </x:row>
    <x:row r="23">
      <x:c r="A23" s="15"/>
      <x:c r="B23" s="15"/>
      <x:c r="C23" s="15"/>
      <x:c r="D23" s="15"/>
      <x:c r="E23" s="15"/>
      <x:c r="F23" s="15"/>
      <x:c r="G23" s="15"/>
      <x:c r="H23" s="20"/>
      <x:c r="I23" s="20"/>
      <x:c r="J23" s="19" t="str">
        <x:f>IFERROR(INDEX('Assumptions'!$J$5:$J$22,MATCH(C23,'Assumptions'!$I$5:$I$22,0)),"")</x:f>
      </x:c>
      <x:c r="K23" s="20" t="str">
        <x:f>IF(OR(H23="",J23=""),"",WORKDAY(H23,J23,'Assumptions'!$M$5:$M$24))</x:f>
      </x:c>
      <x:c r="L23" s="15"/>
      <x:c r="M23" s="19" t="str">
        <x:f>IF(I23="","",I23-TODAY())</x:f>
      </x:c>
      <x:c r="N23" s="15"/>
      <x:c r="O23" s="20"/>
      <x:c r="P23" s="15" t="str">
        <x:f>IF(AND(L23&lt;&gt;"Complete",O23&lt;&gt;"",TODAY()&gt;=O23),"Yes","No")</x:f>
        <x:v>No</x:v>
      </x:c>
    </x:row>
    <x:row r="24">
      <x:c r="A24" s="15"/>
      <x:c r="B24" s="15"/>
      <x:c r="C24" s="15"/>
      <x:c r="D24" s="15"/>
      <x:c r="E24" s="15"/>
      <x:c r="F24" s="15"/>
      <x:c r="G24" s="15"/>
      <x:c r="H24" s="20"/>
      <x:c r="I24" s="20"/>
      <x:c r="J24" s="19" t="str">
        <x:f>IFERROR(INDEX('Assumptions'!$J$5:$J$22,MATCH(C24,'Assumptions'!$I$5:$I$22,0)),"")</x:f>
      </x:c>
      <x:c r="K24" s="20" t="str">
        <x:f>IF(OR(H24="",J24=""),"",WORKDAY(H24,J24,'Assumptions'!$M$5:$M$24))</x:f>
      </x:c>
      <x:c r="L24" s="15"/>
      <x:c r="M24" s="19" t="str">
        <x:f>IF(I24="","",I24-TODAY())</x:f>
      </x:c>
      <x:c r="N24" s="15"/>
      <x:c r="O24" s="20"/>
      <x:c r="P24" s="15" t="str">
        <x:f>IF(AND(L24&lt;&gt;"Complete",O24&lt;&gt;"",TODAY()&gt;=O24),"Yes","No")</x:f>
        <x:v>No</x:v>
      </x:c>
    </x:row>
    <x:row r="25">
      <x:c r="A25" s="15"/>
      <x:c r="B25" s="15"/>
      <x:c r="C25" s="15"/>
      <x:c r="D25" s="15"/>
      <x:c r="E25" s="15"/>
      <x:c r="F25" s="15"/>
      <x:c r="G25" s="15"/>
      <x:c r="H25" s="20"/>
      <x:c r="I25" s="20"/>
      <x:c r="J25" s="19" t="str">
        <x:f>IFERROR(INDEX('Assumptions'!$J$5:$J$22,MATCH(C25,'Assumptions'!$I$5:$I$22,0)),"")</x:f>
      </x:c>
      <x:c r="K25" s="20" t="str">
        <x:f>IF(OR(H25="",J25=""),"",WORKDAY(H25,J25,'Assumptions'!$M$5:$M$24))</x:f>
      </x:c>
      <x:c r="L25" s="15"/>
      <x:c r="M25" s="19" t="str">
        <x:f>IF(I25="","",I25-TODAY())</x:f>
      </x:c>
      <x:c r="N25" s="15"/>
      <x:c r="O25" s="20"/>
      <x:c r="P25" s="15" t="str">
        <x:f>IF(AND(L25&lt;&gt;"Complete",O25&lt;&gt;"",TODAY()&gt;=O25),"Yes","No")</x:f>
        <x:v>No</x:v>
      </x:c>
    </x:row>
    <x:row r="26">
      <x:c r="A26" s="15"/>
      <x:c r="B26" s="15"/>
      <x:c r="C26" s="15"/>
      <x:c r="D26" s="15"/>
      <x:c r="E26" s="15"/>
      <x:c r="F26" s="15"/>
      <x:c r="G26" s="15"/>
      <x:c r="H26" s="20"/>
      <x:c r="I26" s="20"/>
      <x:c r="J26" s="19" t="str">
        <x:f>IFERROR(INDEX('Assumptions'!$J$5:$J$22,MATCH(C26,'Assumptions'!$I$5:$I$22,0)),"")</x:f>
      </x:c>
      <x:c r="K26" s="20" t="str">
        <x:f>IF(OR(H26="",J26=""),"",WORKDAY(H26,J26,'Assumptions'!$M$5:$M$24))</x:f>
      </x:c>
      <x:c r="L26" s="15"/>
      <x:c r="M26" s="19" t="str">
        <x:f>IF(I26="","",I26-TODAY())</x:f>
      </x:c>
      <x:c r="N26" s="15"/>
      <x:c r="O26" s="20"/>
      <x:c r="P26" s="15" t="str">
        <x:f>IF(AND(L26&lt;&gt;"Complete",O26&lt;&gt;"",TODAY()&gt;=O26),"Yes","No")</x:f>
        <x:v>No</x:v>
      </x:c>
    </x:row>
    <x:row r="27">
      <x:c r="A27" s="15"/>
      <x:c r="B27" s="15"/>
      <x:c r="C27" s="15"/>
      <x:c r="D27" s="15"/>
      <x:c r="E27" s="15"/>
      <x:c r="F27" s="15"/>
      <x:c r="G27" s="15"/>
      <x:c r="H27" s="20"/>
      <x:c r="I27" s="20"/>
      <x:c r="J27" s="19" t="str">
        <x:f>IFERROR(INDEX('Assumptions'!$J$5:$J$22,MATCH(C27,'Assumptions'!$I$5:$I$22,0)),"")</x:f>
      </x:c>
      <x:c r="K27" s="20" t="str">
        <x:f>IF(OR(H27="",J27=""),"",WORKDAY(H27,J27,'Assumptions'!$M$5:$M$24))</x:f>
      </x:c>
      <x:c r="L27" s="15"/>
      <x:c r="M27" s="19" t="str">
        <x:f>IF(I27="","",I27-TODAY())</x:f>
      </x:c>
      <x:c r="N27" s="15"/>
      <x:c r="O27" s="20"/>
      <x:c r="P27" s="15" t="str">
        <x:f>IF(AND(L27&lt;&gt;"Complete",O27&lt;&gt;"",TODAY()&gt;=O27),"Yes","No")</x:f>
        <x:v>No</x:v>
      </x:c>
    </x:row>
    <x:row r="28">
      <x:c r="A28" s="15"/>
      <x:c r="B28" s="15"/>
      <x:c r="C28" s="15"/>
      <x:c r="D28" s="15"/>
      <x:c r="E28" s="15"/>
      <x:c r="F28" s="15"/>
      <x:c r="G28" s="15"/>
      <x:c r="H28" s="20"/>
      <x:c r="I28" s="20"/>
      <x:c r="J28" s="19" t="str">
        <x:f>IFERROR(INDEX('Assumptions'!$J$5:$J$22,MATCH(C28,'Assumptions'!$I$5:$I$22,0)),"")</x:f>
      </x:c>
      <x:c r="K28" s="20" t="str">
        <x:f>IF(OR(H28="",J28=""),"",WORKDAY(H28,J28,'Assumptions'!$M$5:$M$24))</x:f>
      </x:c>
      <x:c r="L28" s="15"/>
      <x:c r="M28" s="19" t="str">
        <x:f>IF(I28="","",I28-TODAY())</x:f>
      </x:c>
      <x:c r="N28" s="15"/>
      <x:c r="O28" s="20"/>
      <x:c r="P28" s="15" t="str">
        <x:f>IF(AND(L28&lt;&gt;"Complete",O28&lt;&gt;"",TODAY()&gt;=O28),"Yes","No")</x:f>
        <x:v>No</x:v>
      </x:c>
    </x:row>
    <x:row r="29">
      <x:c r="A29" s="15"/>
      <x:c r="B29" s="15"/>
      <x:c r="C29" s="15"/>
      <x:c r="D29" s="15"/>
      <x:c r="E29" s="15"/>
      <x:c r="F29" s="15"/>
      <x:c r="G29" s="15"/>
      <x:c r="H29" s="20"/>
      <x:c r="I29" s="20"/>
      <x:c r="J29" s="19" t="str">
        <x:f>IFERROR(INDEX('Assumptions'!$J$5:$J$22,MATCH(C29,'Assumptions'!$I$5:$I$22,0)),"")</x:f>
      </x:c>
      <x:c r="K29" s="20" t="str">
        <x:f>IF(OR(H29="",J29=""),"",WORKDAY(H29,J29,'Assumptions'!$M$5:$M$24))</x:f>
      </x:c>
      <x:c r="L29" s="15"/>
      <x:c r="M29" s="19" t="str">
        <x:f>IF(I29="","",I29-TODAY())</x:f>
      </x:c>
      <x:c r="N29" s="15"/>
      <x:c r="O29" s="20"/>
      <x:c r="P29" s="15" t="str">
        <x:f>IF(AND(L29&lt;&gt;"Complete",O29&lt;&gt;"",TODAY()&gt;=O29),"Yes","No")</x:f>
        <x:v>No</x:v>
      </x:c>
    </x:row>
    <x:row r="30">
      <x:c r="A30" s="15"/>
      <x:c r="B30" s="15"/>
      <x:c r="C30" s="15"/>
      <x:c r="D30" s="15"/>
      <x:c r="E30" s="15"/>
      <x:c r="F30" s="15"/>
      <x:c r="G30" s="15"/>
      <x:c r="H30" s="20"/>
      <x:c r="I30" s="20"/>
      <x:c r="J30" s="19" t="str">
        <x:f>IFERROR(INDEX('Assumptions'!$J$5:$J$22,MATCH(C30,'Assumptions'!$I$5:$I$22,0)),"")</x:f>
      </x:c>
      <x:c r="K30" s="20" t="str">
        <x:f>IF(OR(H30="",J30=""),"",WORKDAY(H30,J30,'Assumptions'!$M$5:$M$24))</x:f>
      </x:c>
      <x:c r="L30" s="15"/>
      <x:c r="M30" s="19" t="str">
        <x:f>IF(I30="","",I30-TODAY())</x:f>
      </x:c>
      <x:c r="N30" s="15"/>
      <x:c r="O30" s="20"/>
      <x:c r="P30" s="15" t="str">
        <x:f>IF(AND(L30&lt;&gt;"Complete",O30&lt;&gt;"",TODAY()&gt;=O30),"Yes","No")</x:f>
        <x:v>No</x:v>
      </x:c>
    </x:row>
    <x:row r="31">
      <x:c r="A31" s="15"/>
      <x:c r="B31" s="15"/>
      <x:c r="C31" s="15"/>
      <x:c r="D31" s="15"/>
      <x:c r="E31" s="15"/>
      <x:c r="F31" s="15"/>
      <x:c r="G31" s="15"/>
      <x:c r="H31" s="20"/>
      <x:c r="I31" s="20"/>
      <x:c r="J31" s="19" t="str">
        <x:f>IFERROR(INDEX('Assumptions'!$J$5:$J$22,MATCH(C31,'Assumptions'!$I$5:$I$22,0)),"")</x:f>
      </x:c>
      <x:c r="K31" s="20" t="str">
        <x:f>IF(OR(H31="",J31=""),"",WORKDAY(H31,J31,'Assumptions'!$M$5:$M$24))</x:f>
      </x:c>
      <x:c r="L31" s="15"/>
      <x:c r="M31" s="19" t="str">
        <x:f>IF(I31="","",I31-TODAY())</x:f>
      </x:c>
      <x:c r="N31" s="15"/>
      <x:c r="O31" s="20"/>
      <x:c r="P31" s="15" t="str">
        <x:f>IF(AND(L31&lt;&gt;"Complete",O31&lt;&gt;"",TODAY()&gt;=O31),"Yes","No")</x:f>
        <x:v>No</x:v>
      </x:c>
    </x:row>
    <x:row r="32">
      <x:c r="A32" s="15"/>
      <x:c r="B32" s="15"/>
      <x:c r="C32" s="15"/>
      <x:c r="D32" s="15"/>
      <x:c r="E32" s="15"/>
      <x:c r="F32" s="15"/>
      <x:c r="G32" s="15"/>
      <x:c r="H32" s="20"/>
      <x:c r="I32" s="20"/>
      <x:c r="J32" s="19" t="str">
        <x:f>IFERROR(INDEX('Assumptions'!$J$5:$J$22,MATCH(C32,'Assumptions'!$I$5:$I$22,0)),"")</x:f>
      </x:c>
      <x:c r="K32" s="20" t="str">
        <x:f>IF(OR(H32="",J32=""),"",WORKDAY(H32,J32,'Assumptions'!$M$5:$M$24))</x:f>
      </x:c>
      <x:c r="L32" s="15"/>
      <x:c r="M32" s="19" t="str">
        <x:f>IF(I32="","",I32-TODAY())</x:f>
      </x:c>
      <x:c r="N32" s="15"/>
      <x:c r="O32" s="20"/>
      <x:c r="P32" s="15" t="str">
        <x:f>IF(AND(L32&lt;&gt;"Complete",O32&lt;&gt;"",TODAY()&gt;=O32),"Yes","No")</x:f>
        <x:v>No</x:v>
      </x:c>
    </x:row>
    <x:row r="33">
      <x:c r="A33" s="15"/>
      <x:c r="B33" s="15"/>
      <x:c r="C33" s="15"/>
      <x:c r="D33" s="15"/>
      <x:c r="E33" s="15"/>
      <x:c r="F33" s="15"/>
      <x:c r="G33" s="15"/>
      <x:c r="H33" s="20"/>
      <x:c r="I33" s="20"/>
      <x:c r="J33" s="19" t="str">
        <x:f>IFERROR(INDEX('Assumptions'!$J$5:$J$22,MATCH(C33,'Assumptions'!$I$5:$I$22,0)),"")</x:f>
      </x:c>
      <x:c r="K33" s="20" t="str">
        <x:f>IF(OR(H33="",J33=""),"",WORKDAY(H33,J33,'Assumptions'!$M$5:$M$24))</x:f>
      </x:c>
      <x:c r="L33" s="15"/>
      <x:c r="M33" s="19" t="str">
        <x:f>IF(I33="","",I33-TODAY())</x:f>
      </x:c>
      <x:c r="N33" s="15"/>
      <x:c r="O33" s="20"/>
      <x:c r="P33" s="15" t="str">
        <x:f>IF(AND(L33&lt;&gt;"Complete",O33&lt;&gt;"",TODAY()&gt;=O33),"Yes","No")</x:f>
        <x:v>No</x:v>
      </x:c>
    </x:row>
    <x:row r="34">
      <x:c r="A34" s="15"/>
      <x:c r="B34" s="15"/>
      <x:c r="C34" s="15"/>
      <x:c r="D34" s="15"/>
      <x:c r="E34" s="15"/>
      <x:c r="F34" s="15"/>
      <x:c r="G34" s="15"/>
      <x:c r="H34" s="20"/>
      <x:c r="I34" s="20"/>
      <x:c r="J34" s="19" t="str">
        <x:f>IFERROR(INDEX('Assumptions'!$J$5:$J$22,MATCH(C34,'Assumptions'!$I$5:$I$22,0)),"")</x:f>
      </x:c>
      <x:c r="K34" s="20" t="str">
        <x:f>IF(OR(H34="",J34=""),"",WORKDAY(H34,J34,'Assumptions'!$M$5:$M$24))</x:f>
      </x:c>
      <x:c r="L34" s="15"/>
      <x:c r="M34" s="19" t="str">
        <x:f>IF(I34="","",I34-TODAY())</x:f>
      </x:c>
      <x:c r="N34" s="15"/>
      <x:c r="O34" s="20"/>
      <x:c r="P34" s="15" t="str">
        <x:f>IF(AND(L34&lt;&gt;"Complete",O34&lt;&gt;"",TODAY()&gt;=O34),"Yes","No")</x:f>
        <x:v>No</x:v>
      </x:c>
    </x:row>
    <x:row r="35">
      <x:c r="A35" s="15"/>
      <x:c r="B35" s="15"/>
      <x:c r="C35" s="15"/>
      <x:c r="D35" s="15"/>
      <x:c r="E35" s="15"/>
      <x:c r="F35" s="15"/>
      <x:c r="G35" s="15"/>
      <x:c r="H35" s="20"/>
      <x:c r="I35" s="20"/>
      <x:c r="J35" s="19" t="str">
        <x:f>IFERROR(INDEX('Assumptions'!$J$5:$J$22,MATCH(C35,'Assumptions'!$I$5:$I$22,0)),"")</x:f>
      </x:c>
      <x:c r="K35" s="20" t="str">
        <x:f>IF(OR(H35="",J35=""),"",WORKDAY(H35,J35,'Assumptions'!$M$5:$M$24))</x:f>
      </x:c>
      <x:c r="L35" s="15"/>
      <x:c r="M35" s="19" t="str">
        <x:f>IF(I35="","",I35-TODAY())</x:f>
      </x:c>
      <x:c r="N35" s="15"/>
      <x:c r="O35" s="20"/>
      <x:c r="P35" s="15" t="str">
        <x:f>IF(AND(L35&lt;&gt;"Complete",O35&lt;&gt;"",TODAY()&gt;=O35),"Yes","No")</x:f>
        <x:v>No</x:v>
      </x:c>
    </x:row>
    <x:row r="36">
      <x:c r="A36" s="15"/>
      <x:c r="B36" s="15"/>
      <x:c r="C36" s="15"/>
      <x:c r="D36" s="15"/>
      <x:c r="E36" s="15"/>
      <x:c r="F36" s="15"/>
      <x:c r="G36" s="15"/>
      <x:c r="H36" s="20"/>
      <x:c r="I36" s="20"/>
      <x:c r="J36" s="19" t="str">
        <x:f>IFERROR(INDEX('Assumptions'!$J$5:$J$22,MATCH(C36,'Assumptions'!$I$5:$I$22,0)),"")</x:f>
      </x:c>
      <x:c r="K36" s="20" t="str">
        <x:f>IF(OR(H36="",J36=""),"",WORKDAY(H36,J36,'Assumptions'!$M$5:$M$24))</x:f>
      </x:c>
      <x:c r="L36" s="15"/>
      <x:c r="M36" s="19" t="str">
        <x:f>IF(I36="","",I36-TODAY())</x:f>
      </x:c>
      <x:c r="N36" s="15"/>
      <x:c r="O36" s="20"/>
      <x:c r="P36" s="15" t="str">
        <x:f>IF(AND(L36&lt;&gt;"Complete",O36&lt;&gt;"",TODAY()&gt;=O36),"Yes","No")</x:f>
        <x:v>No</x:v>
      </x:c>
    </x:row>
    <x:row r="37">
      <x:c r="A37" s="15"/>
      <x:c r="B37" s="15"/>
      <x:c r="C37" s="15"/>
      <x:c r="D37" s="15"/>
      <x:c r="E37" s="15"/>
      <x:c r="F37" s="15"/>
      <x:c r="G37" s="15"/>
      <x:c r="H37" s="20"/>
      <x:c r="I37" s="20"/>
      <x:c r="J37" s="19" t="str">
        <x:f>IFERROR(INDEX('Assumptions'!$J$5:$J$22,MATCH(C37,'Assumptions'!$I$5:$I$22,0)),"")</x:f>
      </x:c>
      <x:c r="K37" s="20" t="str">
        <x:f>IF(OR(H37="",J37=""),"",WORKDAY(H37,J37,'Assumptions'!$M$5:$M$24))</x:f>
      </x:c>
      <x:c r="L37" s="15"/>
      <x:c r="M37" s="19" t="str">
        <x:f>IF(I37="","",I37-TODAY())</x:f>
      </x:c>
      <x:c r="N37" s="15"/>
      <x:c r="O37" s="20"/>
      <x:c r="P37" s="15" t="str">
        <x:f>IF(AND(L37&lt;&gt;"Complete",O37&lt;&gt;"",TODAY()&gt;=O37),"Yes","No")</x:f>
        <x:v>No</x:v>
      </x:c>
    </x:row>
    <x:row r="38">
      <x:c r="A38" s="15"/>
      <x:c r="B38" s="15"/>
      <x:c r="C38" s="15"/>
      <x:c r="D38" s="15"/>
      <x:c r="E38" s="15"/>
      <x:c r="F38" s="15"/>
      <x:c r="G38" s="15"/>
      <x:c r="H38" s="20"/>
      <x:c r="I38" s="20"/>
      <x:c r="J38" s="19" t="str">
        <x:f>IFERROR(INDEX('Assumptions'!$J$5:$J$22,MATCH(C38,'Assumptions'!$I$5:$I$22,0)),"")</x:f>
      </x:c>
      <x:c r="K38" s="20" t="str">
        <x:f>IF(OR(H38="",J38=""),"",WORKDAY(H38,J38,'Assumptions'!$M$5:$M$24))</x:f>
      </x:c>
      <x:c r="L38" s="15"/>
      <x:c r="M38" s="19" t="str">
        <x:f>IF(I38="","",I38-TODAY())</x:f>
      </x:c>
      <x:c r="N38" s="15"/>
      <x:c r="O38" s="20"/>
      <x:c r="P38" s="15" t="str">
        <x:f>IF(AND(L38&lt;&gt;"Complete",O38&lt;&gt;"",TODAY()&gt;=O38),"Yes","No")</x:f>
        <x:v>No</x:v>
      </x:c>
    </x:row>
    <x:row r="39">
      <x:c r="A39" s="15"/>
      <x:c r="B39" s="15"/>
      <x:c r="C39" s="15"/>
      <x:c r="D39" s="15"/>
      <x:c r="E39" s="15"/>
      <x:c r="F39" s="15"/>
      <x:c r="G39" s="15"/>
      <x:c r="H39" s="20"/>
      <x:c r="I39" s="20"/>
      <x:c r="J39" s="19" t="str">
        <x:f>IFERROR(INDEX('Assumptions'!$J$5:$J$22,MATCH(C39,'Assumptions'!$I$5:$I$22,0)),"")</x:f>
      </x:c>
      <x:c r="K39" s="20" t="str">
        <x:f>IF(OR(H39="",J39=""),"",WORKDAY(H39,J39,'Assumptions'!$M$5:$M$24))</x:f>
      </x:c>
      <x:c r="L39" s="15"/>
      <x:c r="M39" s="19" t="str">
        <x:f>IF(I39="","",I39-TODAY())</x:f>
      </x:c>
      <x:c r="N39" s="15"/>
      <x:c r="O39" s="20"/>
      <x:c r="P39" s="15" t="str">
        <x:f>IF(AND(L39&lt;&gt;"Complete",O39&lt;&gt;"",TODAY()&gt;=O39),"Yes","No")</x:f>
        <x:v>No</x:v>
      </x:c>
    </x:row>
    <x:row r="40">
      <x:c r="A40" s="15"/>
      <x:c r="B40" s="15"/>
      <x:c r="C40" s="15"/>
      <x:c r="D40" s="15"/>
      <x:c r="E40" s="15"/>
      <x:c r="F40" s="15"/>
      <x:c r="G40" s="15"/>
      <x:c r="H40" s="20"/>
      <x:c r="I40" s="20"/>
      <x:c r="J40" s="19" t="str">
        <x:f>IFERROR(INDEX('Assumptions'!$J$5:$J$22,MATCH(C40,'Assumptions'!$I$5:$I$22,0)),"")</x:f>
      </x:c>
      <x:c r="K40" s="20" t="str">
        <x:f>IF(OR(H40="",J40=""),"",WORKDAY(H40,J40,'Assumptions'!$M$5:$M$24))</x:f>
      </x:c>
      <x:c r="L40" s="15"/>
      <x:c r="M40" s="19" t="str">
        <x:f>IF(I40="","",I40-TODAY())</x:f>
      </x:c>
      <x:c r="N40" s="15"/>
      <x:c r="O40" s="20"/>
      <x:c r="P40" s="15" t="str">
        <x:f>IF(AND(L40&lt;&gt;"Complete",O40&lt;&gt;"",TODAY()&gt;=O40),"Yes","No")</x:f>
        <x:v>No</x:v>
      </x:c>
    </x:row>
    <x:row r="41">
      <x:c r="A41" s="15"/>
      <x:c r="B41" s="15"/>
      <x:c r="C41" s="15"/>
      <x:c r="D41" s="15"/>
      <x:c r="E41" s="15"/>
      <x:c r="F41" s="15"/>
      <x:c r="G41" s="15"/>
      <x:c r="H41" s="20"/>
      <x:c r="I41" s="20"/>
      <x:c r="J41" s="19" t="str">
        <x:f>IFERROR(INDEX('Assumptions'!$J$5:$J$22,MATCH(C41,'Assumptions'!$I$5:$I$22,0)),"")</x:f>
      </x:c>
      <x:c r="K41" s="20" t="str">
        <x:f>IF(OR(H41="",J41=""),"",WORKDAY(H41,J41,'Assumptions'!$M$5:$M$24))</x:f>
      </x:c>
      <x:c r="L41" s="15"/>
      <x:c r="M41" s="19" t="str">
        <x:f>IF(I41="","",I41-TODAY())</x:f>
      </x:c>
      <x:c r="N41" s="15"/>
      <x:c r="O41" s="20"/>
      <x:c r="P41" s="15" t="str">
        <x:f>IF(AND(L41&lt;&gt;"Complete",O41&lt;&gt;"",TODAY()&gt;=O41),"Yes","No")</x:f>
        <x:v>No</x:v>
      </x:c>
    </x:row>
    <x:row r="42">
      <x:c r="A42" s="15"/>
      <x:c r="B42" s="15"/>
      <x:c r="C42" s="15"/>
      <x:c r="D42" s="15"/>
      <x:c r="E42" s="15"/>
      <x:c r="F42" s="15"/>
      <x:c r="G42" s="15"/>
      <x:c r="H42" s="20"/>
      <x:c r="I42" s="20"/>
      <x:c r="J42" s="19" t="str">
        <x:f>IFERROR(INDEX('Assumptions'!$J$5:$J$22,MATCH(C42,'Assumptions'!$I$5:$I$22,0)),"")</x:f>
      </x:c>
      <x:c r="K42" s="20" t="str">
        <x:f>IF(OR(H42="",J42=""),"",WORKDAY(H42,J42,'Assumptions'!$M$5:$M$24))</x:f>
      </x:c>
      <x:c r="L42" s="15"/>
      <x:c r="M42" s="19" t="str">
        <x:f>IF(I42="","",I42-TODAY())</x:f>
      </x:c>
      <x:c r="N42" s="15"/>
      <x:c r="O42" s="20"/>
      <x:c r="P42" s="15" t="str">
        <x:f>IF(AND(L42&lt;&gt;"Complete",O42&lt;&gt;"",TODAY()&gt;=O42),"Yes","No")</x:f>
        <x:v>No</x:v>
      </x:c>
    </x:row>
    <x:row r="43">
      <x:c r="A43" s="15"/>
      <x:c r="B43" s="15"/>
      <x:c r="C43" s="15"/>
      <x:c r="D43" s="15"/>
      <x:c r="E43" s="15"/>
      <x:c r="F43" s="15"/>
      <x:c r="G43" s="15"/>
      <x:c r="H43" s="20"/>
      <x:c r="I43" s="20"/>
      <x:c r="J43" s="19" t="str">
        <x:f>IFERROR(INDEX('Assumptions'!$J$5:$J$22,MATCH(C43,'Assumptions'!$I$5:$I$22,0)),"")</x:f>
      </x:c>
      <x:c r="K43" s="20" t="str">
        <x:f>IF(OR(H43="",J43=""),"",WORKDAY(H43,J43,'Assumptions'!$M$5:$M$24))</x:f>
      </x:c>
      <x:c r="L43" s="15"/>
      <x:c r="M43" s="19" t="str">
        <x:f>IF(I43="","",I43-TODAY())</x:f>
      </x:c>
      <x:c r="N43" s="15"/>
      <x:c r="O43" s="20"/>
      <x:c r="P43" s="15" t="str">
        <x:f>IF(AND(L43&lt;&gt;"Complete",O43&lt;&gt;"",TODAY()&gt;=O43),"Yes","No")</x:f>
        <x:v>No</x:v>
      </x:c>
    </x:row>
    <x:row r="44">
      <x:c r="A44" s="15"/>
      <x:c r="B44" s="15"/>
      <x:c r="C44" s="15"/>
      <x:c r="D44" s="15"/>
      <x:c r="E44" s="15"/>
      <x:c r="F44" s="15"/>
      <x:c r="G44" s="15"/>
      <x:c r="H44" s="20"/>
      <x:c r="I44" s="20"/>
      <x:c r="J44" s="19" t="str">
        <x:f>IFERROR(INDEX('Assumptions'!$J$5:$J$22,MATCH(C44,'Assumptions'!$I$5:$I$22,0)),"")</x:f>
      </x:c>
      <x:c r="K44" s="20" t="str">
        <x:f>IF(OR(H44="",J44=""),"",WORKDAY(H44,J44,'Assumptions'!$M$5:$M$24))</x:f>
      </x:c>
      <x:c r="L44" s="15"/>
      <x:c r="M44" s="19" t="str">
        <x:f>IF(I44="","",I44-TODAY())</x:f>
      </x:c>
      <x:c r="N44" s="15"/>
      <x:c r="O44" s="20"/>
      <x:c r="P44" s="15" t="str">
        <x:f>IF(AND(L44&lt;&gt;"Complete",O44&lt;&gt;"",TODAY()&gt;=O44),"Yes","No")</x:f>
        <x:v>No</x:v>
      </x:c>
    </x:row>
    <x:row r="45">
      <x:c r="A45" s="15"/>
      <x:c r="B45" s="15"/>
      <x:c r="C45" s="15"/>
      <x:c r="D45" s="15"/>
      <x:c r="E45" s="15"/>
      <x:c r="F45" s="15"/>
      <x:c r="G45" s="15"/>
      <x:c r="H45" s="20"/>
      <x:c r="I45" s="20"/>
      <x:c r="J45" s="19" t="str">
        <x:f>IFERROR(INDEX('Assumptions'!$J$5:$J$22,MATCH(C45,'Assumptions'!$I$5:$I$22,0)),"")</x:f>
      </x:c>
      <x:c r="K45" s="20" t="str">
        <x:f>IF(OR(H45="",J45=""),"",WORKDAY(H45,J45,'Assumptions'!$M$5:$M$24))</x:f>
      </x:c>
      <x:c r="L45" s="15"/>
      <x:c r="M45" s="19" t="str">
        <x:f>IF(I45="","",I45-TODAY())</x:f>
      </x:c>
      <x:c r="N45" s="15"/>
      <x:c r="O45" s="20"/>
      <x:c r="P45" s="15" t="str">
        <x:f>IF(AND(L45&lt;&gt;"Complete",O45&lt;&gt;"",TODAY()&gt;=O45),"Yes","No")</x:f>
        <x:v>No</x:v>
      </x:c>
    </x:row>
    <x:row r="46">
      <x:c r="A46" s="15"/>
      <x:c r="B46" s="15"/>
      <x:c r="C46" s="15"/>
      <x:c r="D46" s="15"/>
      <x:c r="E46" s="15"/>
      <x:c r="F46" s="15"/>
      <x:c r="G46" s="15"/>
      <x:c r="H46" s="20"/>
      <x:c r="I46" s="20"/>
      <x:c r="J46" s="19" t="str">
        <x:f>IFERROR(INDEX('Assumptions'!$J$5:$J$22,MATCH(C46,'Assumptions'!$I$5:$I$22,0)),"")</x:f>
      </x:c>
      <x:c r="K46" s="20" t="str">
        <x:f>IF(OR(H46="",J46=""),"",WORKDAY(H46,J46,'Assumptions'!$M$5:$M$24))</x:f>
      </x:c>
      <x:c r="L46" s="15"/>
      <x:c r="M46" s="19" t="str">
        <x:f>IF(I46="","",I46-TODAY())</x:f>
      </x:c>
      <x:c r="N46" s="15"/>
      <x:c r="O46" s="20"/>
      <x:c r="P46" s="15" t="str">
        <x:f>IF(AND(L46&lt;&gt;"Complete",O46&lt;&gt;"",TODAY()&gt;=O46),"Yes","No")</x:f>
        <x:v>No</x:v>
      </x:c>
    </x:row>
    <x:row r="47">
      <x:c r="A47" s="15"/>
      <x:c r="B47" s="15"/>
      <x:c r="C47" s="15"/>
      <x:c r="D47" s="15"/>
      <x:c r="E47" s="15"/>
      <x:c r="F47" s="15"/>
      <x:c r="G47" s="15"/>
      <x:c r="H47" s="20"/>
      <x:c r="I47" s="20"/>
      <x:c r="J47" s="19" t="str">
        <x:f>IFERROR(INDEX('Assumptions'!$J$5:$J$22,MATCH(C47,'Assumptions'!$I$5:$I$22,0)),"")</x:f>
      </x:c>
      <x:c r="K47" s="20" t="str">
        <x:f>IF(OR(H47="",J47=""),"",WORKDAY(H47,J47,'Assumptions'!$M$5:$M$24))</x:f>
      </x:c>
      <x:c r="L47" s="15"/>
      <x:c r="M47" s="19" t="str">
        <x:f>IF(I47="","",I47-TODAY())</x:f>
      </x:c>
      <x:c r="N47" s="15"/>
      <x:c r="O47" s="20"/>
      <x:c r="P47" s="15" t="str">
        <x:f>IF(AND(L47&lt;&gt;"Complete",O47&lt;&gt;"",TODAY()&gt;=O47),"Yes","No")</x:f>
        <x:v>No</x:v>
      </x:c>
    </x:row>
    <x:row r="48">
      <x:c r="A48" s="15"/>
      <x:c r="B48" s="15"/>
      <x:c r="C48" s="15"/>
      <x:c r="D48" s="15"/>
      <x:c r="E48" s="15"/>
      <x:c r="F48" s="15"/>
      <x:c r="G48" s="15"/>
      <x:c r="H48" s="20"/>
      <x:c r="I48" s="20"/>
      <x:c r="J48" s="19" t="str">
        <x:f>IFERROR(INDEX('Assumptions'!$J$5:$J$22,MATCH(C48,'Assumptions'!$I$5:$I$22,0)),"")</x:f>
      </x:c>
      <x:c r="K48" s="20" t="str">
        <x:f>IF(OR(H48="",J48=""),"",WORKDAY(H48,J48,'Assumptions'!$M$5:$M$24))</x:f>
      </x:c>
      <x:c r="L48" s="15"/>
      <x:c r="M48" s="19" t="str">
        <x:f>IF(I48="","",I48-TODAY())</x:f>
      </x:c>
      <x:c r="N48" s="15"/>
      <x:c r="O48" s="20"/>
      <x:c r="P48" s="15" t="str">
        <x:f>IF(AND(L48&lt;&gt;"Complete",O48&lt;&gt;"",TODAY()&gt;=O48),"Yes","No")</x:f>
        <x:v>No</x:v>
      </x:c>
    </x:row>
    <x:row r="49">
      <x:c r="A49" s="15"/>
      <x:c r="B49" s="15"/>
      <x:c r="C49" s="15"/>
      <x:c r="D49" s="15"/>
      <x:c r="E49" s="15"/>
      <x:c r="F49" s="15"/>
      <x:c r="G49" s="15"/>
      <x:c r="H49" s="20"/>
      <x:c r="I49" s="20"/>
      <x:c r="J49" s="19" t="str">
        <x:f>IFERROR(INDEX('Assumptions'!$J$5:$J$22,MATCH(C49,'Assumptions'!$I$5:$I$22,0)),"")</x:f>
      </x:c>
      <x:c r="K49" s="20" t="str">
        <x:f>IF(OR(H49="",J49=""),"",WORKDAY(H49,J49,'Assumptions'!$M$5:$M$24))</x:f>
      </x:c>
      <x:c r="L49" s="15"/>
      <x:c r="M49" s="19" t="str">
        <x:f>IF(I49="","",I49-TODAY())</x:f>
      </x:c>
      <x:c r="N49" s="15"/>
      <x:c r="O49" s="20"/>
      <x:c r="P49" s="15" t="str">
        <x:f>IF(AND(L49&lt;&gt;"Complete",O49&lt;&gt;"",TODAY()&gt;=O49),"Yes","No")</x:f>
        <x:v>No</x:v>
      </x:c>
    </x:row>
    <x:row r="50">
      <x:c r="A50" s="15"/>
      <x:c r="B50" s="15"/>
      <x:c r="C50" s="15"/>
      <x:c r="D50" s="15"/>
      <x:c r="E50" s="15"/>
      <x:c r="F50" s="15"/>
      <x:c r="G50" s="15"/>
      <x:c r="H50" s="20"/>
      <x:c r="I50" s="20"/>
      <x:c r="J50" s="19" t="str">
        <x:f>IFERROR(INDEX('Assumptions'!$J$5:$J$22,MATCH(C50,'Assumptions'!$I$5:$I$22,0)),"")</x:f>
      </x:c>
      <x:c r="K50" s="20" t="str">
        <x:f>IF(OR(H50="",J50=""),"",WORKDAY(H50,J50,'Assumptions'!$M$5:$M$24))</x:f>
      </x:c>
      <x:c r="L50" s="15"/>
      <x:c r="M50" s="19" t="str">
        <x:f>IF(I50="","",I50-TODAY())</x:f>
      </x:c>
      <x:c r="N50" s="15"/>
      <x:c r="O50" s="20"/>
      <x:c r="P50" s="15" t="str">
        <x:f>IF(AND(L50&lt;&gt;"Complete",O50&lt;&gt;"",TODAY()&gt;=O50),"Yes","No")</x:f>
        <x:v>No</x:v>
      </x:c>
    </x:row>
    <x:row r="51">
      <x:c r="A51" s="15"/>
      <x:c r="B51" s="15"/>
      <x:c r="C51" s="15"/>
      <x:c r="D51" s="15"/>
      <x:c r="E51" s="15"/>
      <x:c r="F51" s="15"/>
      <x:c r="G51" s="15"/>
      <x:c r="H51" s="20"/>
      <x:c r="I51" s="20"/>
      <x:c r="J51" s="19" t="str">
        <x:f>IFERROR(INDEX('Assumptions'!$J$5:$J$22,MATCH(C51,'Assumptions'!$I$5:$I$22,0)),"")</x:f>
      </x:c>
      <x:c r="K51" s="20" t="str">
        <x:f>IF(OR(H51="",J51=""),"",WORKDAY(H51,J51,'Assumptions'!$M$5:$M$24))</x:f>
      </x:c>
      <x:c r="L51" s="15"/>
      <x:c r="M51" s="19" t="str">
        <x:f>IF(I51="","",I51-TODAY())</x:f>
      </x:c>
      <x:c r="N51" s="15"/>
      <x:c r="O51" s="20"/>
      <x:c r="P51" s="15" t="str">
        <x:f>IF(AND(L51&lt;&gt;"Complete",O51&lt;&gt;"",TODAY()&gt;=O51),"Yes","No")</x:f>
        <x:v>No</x:v>
      </x:c>
    </x:row>
    <x:row r="52">
      <x:c r="A52" s="15"/>
      <x:c r="B52" s="15"/>
      <x:c r="C52" s="15"/>
      <x:c r="D52" s="15"/>
      <x:c r="E52" s="15"/>
      <x:c r="F52" s="15"/>
      <x:c r="G52" s="15"/>
      <x:c r="H52" s="20"/>
      <x:c r="I52" s="20"/>
      <x:c r="J52" s="19" t="str">
        <x:f>IFERROR(INDEX('Assumptions'!$J$5:$J$22,MATCH(C52,'Assumptions'!$I$5:$I$22,0)),"")</x:f>
      </x:c>
      <x:c r="K52" s="20" t="str">
        <x:f>IF(OR(H52="",J52=""),"",WORKDAY(H52,J52,'Assumptions'!$M$5:$M$24))</x:f>
      </x:c>
      <x:c r="L52" s="15"/>
      <x:c r="M52" s="19" t="str">
        <x:f>IF(I52="","",I52-TODAY())</x:f>
      </x:c>
      <x:c r="N52" s="15"/>
      <x:c r="O52" s="20"/>
      <x:c r="P52" s="15" t="str">
        <x:f>IF(AND(L52&lt;&gt;"Complete",O52&lt;&gt;"",TODAY()&gt;=O52),"Yes","No")</x:f>
        <x:v>No</x:v>
      </x:c>
    </x:row>
    <x:row r="53">
      <x:c r="A53" s="15"/>
      <x:c r="B53" s="15"/>
      <x:c r="C53" s="15"/>
      <x:c r="D53" s="15"/>
      <x:c r="E53" s="15"/>
      <x:c r="F53" s="15"/>
      <x:c r="G53" s="15"/>
      <x:c r="H53" s="20"/>
      <x:c r="I53" s="20"/>
      <x:c r="J53" s="19" t="str">
        <x:f>IFERROR(INDEX('Assumptions'!$J$5:$J$22,MATCH(C53,'Assumptions'!$I$5:$I$22,0)),"")</x:f>
      </x:c>
      <x:c r="K53" s="20" t="str">
        <x:f>IF(OR(H53="",J53=""),"",WORKDAY(H53,J53,'Assumptions'!$M$5:$M$24))</x:f>
      </x:c>
      <x:c r="L53" s="15"/>
      <x:c r="M53" s="19" t="str">
        <x:f>IF(I53="","",I53-TODAY())</x:f>
      </x:c>
      <x:c r="N53" s="15"/>
      <x:c r="O53" s="20"/>
      <x:c r="P53" s="15" t="str">
        <x:f>IF(AND(L53&lt;&gt;"Complete",O53&lt;&gt;"",TODAY()&gt;=O53),"Yes","No")</x:f>
        <x:v>No</x:v>
      </x:c>
    </x:row>
    <x:row r="54">
      <x:c r="A54" s="15"/>
      <x:c r="B54" s="15"/>
      <x:c r="C54" s="15"/>
      <x:c r="D54" s="15"/>
      <x:c r="E54" s="15"/>
      <x:c r="F54" s="15"/>
      <x:c r="G54" s="15"/>
      <x:c r="H54" s="20"/>
      <x:c r="I54" s="20"/>
      <x:c r="J54" s="19" t="str">
        <x:f>IFERROR(INDEX('Assumptions'!$J$5:$J$22,MATCH(C54,'Assumptions'!$I$5:$I$22,0)),"")</x:f>
      </x:c>
      <x:c r="K54" s="20" t="str">
        <x:f>IF(OR(H54="",J54=""),"",WORKDAY(H54,J54,'Assumptions'!$M$5:$M$24))</x:f>
      </x:c>
      <x:c r="L54" s="15"/>
      <x:c r="M54" s="19" t="str">
        <x:f>IF(I54="","",I54-TODAY())</x:f>
      </x:c>
      <x:c r="N54" s="15"/>
      <x:c r="O54" s="20"/>
      <x:c r="P54" s="15" t="str">
        <x:f>IF(AND(L54&lt;&gt;"Complete",O54&lt;&gt;"",TODAY()&gt;=O54),"Yes","No")</x:f>
        <x:v>No</x:v>
      </x:c>
    </x:row>
  </x:sheetData>
  <x:mergeCells>
    <x:mergeCell ref="A1:P1"/>
    <x:mergeCell ref="A2:P2"/>
  </x:mergeCells>
  <x:conditionalFormatting sqref="L5:L54">
    <x:cfRule type="containsText" dxfId="11" priority="1" operator="containsText" text="Complete"/>
    <x:cfRule type="containsText" dxfId="12" priority="2" operator="containsText" text="Blocked"/>
    <x:cfRule type="containsText" dxfId="13" priority="3" operator="containsText" text="At Risk"/>
    <x:cfRule type="containsText" dxfId="14" priority="4" operator="containsText" text="In Progress"/>
  </x:conditionalFormatting>
  <x:conditionalFormatting sqref="P5:P54">
    <x:cfRule type="containsText" dxfId="15" priority="5" operator="containsText" text="Yes"/>
  </x:conditionalFormatting>
  <x:dataValidations count="3">
    <x:dataValidation type="list" sqref="C5:C54">
      <x:formula1>'Assumptions'!$I$5:$I$22</x:formula1>
    </x:dataValidation>
    <x:dataValidation type="list" sqref="G5:G54">
      <x:formula1>"To Submit,Submitted,In Draft,Accepted,Rejected,Complete,On Hold"</x:formula1>
    </x:dataValidation>
    <x:dataValidation type="list" sqref="L5:L54">
      <x:formula1>'Assumptions'!$C$27:$C$34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1eea2f0b4f47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13" hidden="0" customWidth="1"/>
    <x:col min="4" max="4" width="13" hidden="0" customWidth="1"/>
    <x:col min="5" max="5" width="16" hidden="0" customWidth="1"/>
    <x:col min="6" max="6" width="40" hidden="0" customWidth="1"/>
    <x:col min="7" max="7" width="14" hidden="0" customWidth="1"/>
    <x:col min="8" max="8" width="20" hidden="0" customWidth="1"/>
    <x:col min="9" max="9" width="10" hidden="0" customWidth="1"/>
    <x:col min="10" max="10" width="30" hidden="0" customWidth="1"/>
  </x:cols>
  <x:sheetData>
    <x:row r="1" ht="30" customHeight="1">
      <x:c r="A1" s="38" t="str">
        <x:v>Milestones</x:v>
      </x:c>
      <x:c r="B1" s="38" t="str">
        <x:v>Milestones</x:v>
      </x:c>
      <x:c r="C1" s="38" t="str">
        <x:v>Milestones</x:v>
      </x:c>
      <x:c r="D1" s="38" t="str">
        <x:v>Milestones</x:v>
      </x:c>
      <x:c r="E1" s="38" t="str">
        <x:v>Milestones</x:v>
      </x:c>
      <x:c r="F1" s="38" t="str">
        <x:v>Milestones</x:v>
      </x:c>
      <x:c r="G1" s="38" t="str">
        <x:v>Milestones</x:v>
      </x:c>
      <x:c r="H1" s="38" t="str">
        <x:v>Milestones</x:v>
      </x:c>
      <x:c r="I1" s="38" t="str">
        <x:v>Milestones</x:v>
      </x:c>
      <x:c r="J1" s="38" t="str">
        <x:v>Milestones</x:v>
      </x:c>
    </x:row>
    <x:row r="2" ht="34" customHeight="1">
      <x:c r="A2" s="39" t="str">
        <x:v>Use this page for the date-based recovery story. Detailed tasks stay in Jira or the Action Plan.</x:v>
      </x:c>
      <x:c r="B2" s="39" t="str">
        <x:v>Use this page for the date-based recovery story. Detailed tasks stay in Jira or the Action Plan.</x:v>
      </x:c>
      <x:c r="C2" s="39" t="str">
        <x:v>Use this page for the date-based recovery story. Detailed tasks stay in Jira or the Action Plan.</x:v>
      </x:c>
      <x:c r="D2" s="39" t="str">
        <x:v>Use this page for the date-based recovery story. Detailed tasks stay in Jira or the Action Plan.</x:v>
      </x:c>
      <x:c r="E2" s="39" t="str">
        <x:v>Use this page for the date-based recovery story. Detailed tasks stay in Jira or the Action Plan.</x:v>
      </x:c>
      <x:c r="F2" s="39" t="str">
        <x:v>Use this page for the date-based recovery story. Detailed tasks stay in Jira or the Action Plan.</x:v>
      </x:c>
      <x:c r="G2" s="39" t="str">
        <x:v>Use this page for the date-based recovery story. Detailed tasks stay in Jira or the Action Plan.</x:v>
      </x:c>
      <x:c r="H2" s="39" t="str">
        <x:v>Use this page for the date-based recovery story. Detailed tasks stay in Jira or the Action Plan.</x:v>
      </x:c>
      <x:c r="I2" s="39" t="str">
        <x:v>Use this page for the date-based recovery story. Detailed tasks stay in Jira or the Action Plan.</x:v>
      </x:c>
      <x:c r="J2" s="39" t="str">
        <x:v>Use this page for the date-based recovery story. Detailed tasks stay in Jira or the Action Plan.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</x:row>
    <x:row r="4" ht="34" customHeight="1">
      <x:c r="A4" s="44" t="str">
        <x:v>Milestone</x:v>
      </x:c>
      <x:c r="B4" s="44" t="str">
        <x:v>Workstream</x:v>
      </x:c>
      <x:c r="C4" s="44" t="str">
        <x:v>Target Date</x:v>
      </x:c>
      <x:c r="D4" s="44" t="str">
        <x:v>Forecast Date</x:v>
      </x:c>
      <x:c r="E4" s="44" t="str">
        <x:v>Status</x:v>
      </x:c>
      <x:c r="F4" s="44" t="str">
        <x:v>Exit Criteria</x:v>
      </x:c>
      <x:c r="G4" s="44" t="str">
        <x:v>Dependency ID</x:v>
      </x:c>
      <x:c r="H4" s="44" t="str">
        <x:v>Owner</x:v>
      </x:c>
      <x:c r="I4" s="44" t="str">
        <x:v>RAG</x:v>
      </x:c>
      <x:c r="J4" s="44" t="str">
        <x:v>Notes</x:v>
      </x:c>
    </x:row>
    <x:row r="5">
      <x:c r="A5" s="15" t="str">
        <x:v>Legacy app inventory complete</x:v>
      </x:c>
      <x:c r="B5" s="15" t="str">
        <x:v>Application Inventory</x:v>
      </x:c>
      <x:c r="C5" s="20" t="n">
        <x:v>46254</x:v>
      </x:c>
      <x:c r="D5" s="20" t="str">
        <x:f>IFERROR(MINIFS('Action Plan'!$J$5:$J$104,'Action Plan'!$B$5:$B$104,B5),"")</x:f>
      </x:c>
      <x:c r="E5" s="15" t="str">
        <x:v>In Progress</x:v>
      </x:c>
      <x:c r="F5" s="15" t="str">
        <x:v>All 42 screenshot-derived apps/tools/components listed and classified</x:v>
      </x:c>
      <x:c r="G5" s="15" t="str"/>
      <x:c r="H5" s="15" t="str">
        <x:v>CVIS</x:v>
      </x:c>
      <x:c r="I5" s="15" t="str">
        <x:f>IF(A5="","",IF(E5="Complete","Green",IF(E5="Blocked","Red",IF(OR(E5="Waiting External",E5="At Risk"),"Yellow",IF(AND(D5&lt;&gt;"",D5&gt;C5),"Yellow",IF(TODAY()&gt;C5,"Red","Green"))))))</x:f>
        <x:v>Green</x:v>
      </x:c>
      <x:c r="J5" s="15" t="str">
        <x:v>Owner validation still required for uncertain fields</x:v>
      </x:c>
    </x:row>
    <x:row r="6">
      <x:c r="A6" s="15" t="str">
        <x:v>Unity reference pattern defined</x:v>
      </x:c>
      <x:c r="B6" s="15" t="str">
        <x:v>Unity Architecture</x:v>
      </x:c>
      <x:c r="C6" s="20" t="n">
        <x:v>46259</x:v>
      </x:c>
      <x:c r="D6" s="20" t="str">
        <x:f>IFERROR(MINIFS('Action Plan'!$J$5:$J$104,'Action Plan'!$B$5:$B$104,B6),"")</x:f>
      </x:c>
      <x:c r="E6" s="15" t="str">
        <x:v>Not Started</x:v>
      </x:c>
      <x:c r="F6" s="15" t="str">
        <x:v>Architecture approach documented and reviewed</x:v>
      </x:c>
      <x:c r="G6" s="15" t="str">
        <x:v>DEP-003</x:v>
      </x:c>
      <x:c r="H6" s="15" t="str">
        <x:v>CVIS / Architecture</x:v>
      </x:c>
      <x:c r="I6" s="15" t="str">
        <x:f>IF(A6="","",IF(E6="Complete","Green",IF(E6="Blocked","Red",IF(OR(E6="Waiting External",E6="At Risk"),"Yellow",IF(AND(D6&lt;&gt;"",D6&gt;C6),"Yellow",IF(TODAY()&gt;C6,"Red","Green"))))))</x:f>
        <x:v>Green</x:v>
      </x:c>
      <x:c r="J6" s="15" t="str"/>
    </x:row>
    <x:row r="7">
      <x:c r="A7" s="15" t="str">
        <x:v>PtB approval complete</x:v>
      </x:c>
      <x:c r="B7" s="15" t="str">
        <x:v>NFRs / Governance</x:v>
      </x:c>
      <x:c r="C7" s="20" t="n">
        <x:v>46260</x:v>
      </x:c>
      <x:c r="D7" s="20" t="str">
        <x:f>IFERROR(MINIFS('Action Plan'!$J$5:$J$104,'Action Plan'!$B$5:$B$104,B7),"")</x:f>
      </x:c>
      <x:c r="E7" s="15" t="str">
        <x:v>In Progress</x:v>
      </x:c>
      <x:c r="F7" s="15" t="str">
        <x:v>Architecture revisions addressed and PtB review passed or scheduled</x:v>
      </x:c>
      <x:c r="G7" s="15" t="str">
        <x:v>DEP-003</x:v>
      </x:c>
      <x:c r="H7" s="15" t="str">
        <x:v>CVIS / Architecture</x:v>
      </x:c>
      <x:c r="I7" s="15" t="str">
        <x:f>IF(A7="","",IF(E7="Complete","Green",IF(E7="Blocked","Red",IF(OR(E7="Waiting External",E7="At Risk"),"Yellow",IF(AND(D7&lt;&gt;"",D7&gt;C7),"Yellow",IF(TODAY()&gt;C7,"Red","Green"))))))</x:f>
        <x:v>Green</x:v>
      </x:c>
      <x:c r="J7" s="15" t="str">
        <x:v>Resource requests for containers and Apigee/API are gated until PtB clears</x:v>
      </x:c>
    </x:row>
    <x:row r="8">
      <x:c r="A8" s="15" t="str">
        <x:v>Pilot app selected</x:v>
      </x:c>
      <x:c r="B8" s="15" t="str">
        <x:v>Build / Refactor</x:v>
      </x:c>
      <x:c r="C8" s="20" t="n">
        <x:v>46257</x:v>
      </x:c>
      <x:c r="D8" s="20" t="str">
        <x:f>IFERROR(MINIFS('Action Plan'!$J$5:$J$104,'Action Plan'!$B$5:$B$104,B8),"")</x:f>
      </x:c>
      <x:c r="E8" s="15" t="str">
        <x:v>Not Started</x:v>
      </x:c>
      <x:c r="F8" s="15" t="str">
        <x:v>1-3 pilot candidates selected with backup option</x:v>
      </x:c>
      <x:c r="G8" s="15" t="str"/>
      <x:c r="H8" s="15" t="str">
        <x:v>CVIS</x:v>
      </x:c>
      <x:c r="I8" s="15" t="str">
        <x:f>IF(A8="","",IF(E8="Complete","Green",IF(E8="Blocked","Red",IF(OR(E8="Waiting External",E8="At Risk"),"Yellow",IF(AND(D8&lt;&gt;"",D8&gt;C8),"Yellow",IF(TODAY()&gt;C8,"Red","Green"))))))</x:f>
        <x:v>Green</x:v>
      </x:c>
      <x:c r="J8" s="15" t="str"/>
    </x:row>
    <x:row r="9">
      <x:c r="A9" s="15" t="str">
        <x:v>Container onboarding submitted</x:v>
      </x:c>
      <x:c r="B9" s="15" t="str">
        <x:v>Container Onboarding</x:v>
      </x:c>
      <x:c r="C9" s="20" t="n">
        <x:v>46261</x:v>
      </x:c>
      <x:c r="D9" s="20" t="str">
        <x:f>IFERROR(MINIFS('Action Plan'!$J$5:$J$104,'Action Plan'!$B$5:$B$104,B9),"")</x:f>
      </x:c>
      <x:c r="E9" s="15" t="str">
        <x:v>Waiting External</x:v>
      </x:c>
      <x:c r="F9" s="15" t="str">
        <x:v>Platform intake submitted after PtB approval</x:v>
      </x:c>
      <x:c r="G9" s="15" t="str">
        <x:v>DEP-001</x:v>
      </x:c>
      <x:c r="H9" s="15" t="str">
        <x:v>CVIS</x:v>
      </x:c>
      <x:c r="I9" s="15" t="str">
        <x:f>IF(A9="","",IF(E9="Complete","Green",IF(E9="Blocked","Red",IF(OR(E9="Waiting External",E9="At Risk"),"Yellow",IF(AND(D9&lt;&gt;"",D9&gt;C9),"Yellow",IF(TODAY()&gt;C9,"Red","Green"))))))</x:f>
        <x:v>Yellow</x:v>
      </x:c>
      <x:c r="J9" s="15" t="str">
        <x:v>Request package is prepared; submission waits on PtB gate</x:v>
      </x:c>
    </x:row>
    <x:row r="10">
      <x:c r="A10" s="15" t="str">
        <x:v>Apigee onboarding submitted</x:v>
      </x:c>
      <x:c r="B10" s="15" t="str">
        <x:v>Apigee / API Onboarding</x:v>
      </x:c>
      <x:c r="C10" s="20" t="n">
        <x:v>46261</x:v>
      </x:c>
      <x:c r="D10" s="20" t="str">
        <x:f>IFERROR(MINIFS('Action Plan'!$J$5:$J$104,'Action Plan'!$B$5:$B$104,B10),"")</x:f>
      </x:c>
      <x:c r="E10" s="15" t="str">
        <x:v>Waiting External</x:v>
      </x:c>
      <x:c r="F10" s="15" t="str">
        <x:v>API intake submitted after PtB approval</x:v>
      </x:c>
      <x:c r="G10" s="15" t="str">
        <x:v>DEP-002</x:v>
      </x:c>
      <x:c r="H10" s="15" t="str">
        <x:v>CVIS</x:v>
      </x:c>
      <x:c r="I10" s="15" t="str">
        <x:f>IF(A10="","",IF(E10="Complete","Green",IF(E10="Blocked","Red",IF(OR(E10="Waiting External",E10="At Risk"),"Yellow",IF(AND(D10&lt;&gt;"",D10&gt;C10),"Yellow",IF(TODAY()&gt;C10,"Red","Green"))))))</x:f>
        <x:v>Yellow</x:v>
      </x:c>
      <x:c r="J10" s="15" t="str">
        <x:v>Request package is prepared; submission waits on PtB gate</x:v>
      </x:c>
    </x:row>
    <x:row r="11">
      <x:c r="A11" s="15" t="str">
        <x:v>DB / SSIS consumers notified</x:v>
      </x:c>
      <x:c r="B11" s="15" t="str">
        <x:v>Database</x:v>
      </x:c>
      <x:c r="C11" s="20" t="n">
        <x:v>46257</x:v>
      </x:c>
      <x:c r="D11" s="20" t="str">
        <x:f>IFERROR(MINIFS('Action Plan'!$J$5:$J$104,'Action Plan'!$B$5:$B$104,B11),"")</x:f>
      </x:c>
      <x:c r="E11" s="15" t="str">
        <x:v>In Progress</x:v>
      </x:c>
      <x:c r="F11" s="15" t="str">
        <x:v>ESAR and MCC notified of DB/API transition impact</x:v>
      </x:c>
      <x:c r="G11" s="15" t="str">
        <x:v>DEP-012</x:v>
      </x:c>
      <x:c r="H11" s="15" t="str">
        <x:v>CVIS</x:v>
      </x:c>
      <x:c r="I11" s="15" t="str">
        <x:f>IF(A11="","",IF(E11="Complete","Green",IF(E11="Blocked","Red",IF(OR(E11="Waiting External",E11="At Risk"),"Yellow",IF(AND(D11&lt;&gt;"",D11&gt;C11),"Yellow",IF(TODAY()&gt;C11,"Red","Green"))))))</x:f>
        <x:v>Green</x:v>
      </x:c>
      <x:c r="J11" s="15" t="str">
        <x:v>Two SSIS consumers exist; both own their packages and indicated remediation plans</x:v>
      </x:c>
    </x:row>
    <x:row r="12">
      <x:c r="A12" s="15" t="str">
        <x:v>First pilot migration started</x:v>
      </x:c>
      <x:c r="B12" s="15" t="str">
        <x:v>Build / Refactor</x:v>
      </x:c>
      <x:c r="C12" s="20" t="n">
        <x:v>46261</x:v>
      </x:c>
      <x:c r="D12" s="20" t="str">
        <x:f>IFERROR(MINIFS('Action Plan'!$J$5:$J$104,'Action Plan'!$B$5:$B$104,B12),"")</x:f>
      </x:c>
      <x:c r="E12" s="15" t="str">
        <x:v>Not Started</x:v>
      </x:c>
      <x:c r="F12" s="15" t="str">
        <x:v>Pilot development begins in Unity pattern</x:v>
      </x:c>
      <x:c r="G12" s="15" t="str">
        <x:v>DEP-004</x:v>
      </x:c>
      <x:c r="H12" s="15" t="str">
        <x:v>CVIS</x:v>
      </x:c>
      <x:c r="I12" s="15" t="str">
        <x:f>IF(A12="","",IF(E12="Complete","Green",IF(E12="Blocked","Red",IF(OR(E12="Waiting External",E12="At Risk"),"Yellow",IF(AND(D12&lt;&gt;"",D12&gt;C12),"Yellow",IF(TODAY()&gt;C12,"Red","Green"))))))</x:f>
        <x:v>Green</x:v>
      </x:c>
      <x:c r="J12" s="15" t="str"/>
    </x:row>
    <x:row r="13">
      <x:c r="A13" s="15" t="str">
        <x:v>Pilot validation complete</x:v>
      </x:c>
      <x:c r="B13" s="15" t="str">
        <x:v>Testing / Validation</x:v>
      </x:c>
      <x:c r="C13" s="20" t="n">
        <x:v>46270</x:v>
      </x:c>
      <x:c r="D13" s="20" t="str">
        <x:f>IFERROR(MINIFS('Action Plan'!$J$5:$J$104,'Action Plan'!$B$5:$B$104,B13),"")</x:f>
      </x:c>
      <x:c r="E13" s="15" t="str">
        <x:v>Not Started</x:v>
      </x:c>
      <x:c r="F13" s="15" t="str">
        <x:v>CyberArk behavior validated and issues logged</x:v>
      </x:c>
      <x:c r="G13" s="15" t="str">
        <x:v>DEP-004</x:v>
      </x:c>
      <x:c r="H13" s="15" t="str">
        <x:v>CVIS / CyberArk</x:v>
      </x:c>
      <x:c r="I13" s="15" t="str">
        <x:f>IF(A13="","",IF(E13="Complete","Green",IF(E13="Blocked","Red",IF(OR(E13="Waiting External",E13="At Risk"),"Yellow",IF(AND(D13&lt;&gt;"",D13&gt;C13),"Yellow",IF(TODAY()&gt;C13,"Red","Green"))))))</x:f>
        <x:v>Green</x:v>
      </x:c>
      <x:c r="J13" s="15" t="str"/>
    </x:row>
    <x:row r="14">
      <x:c r="A14" s="15"/>
      <x:c r="B14" s="15"/>
      <x:c r="C14" s="20"/>
      <x:c r="D14" s="20" t="str">
        <x:f>IFERROR(MINIFS('Action Plan'!$J$5:$J$104,'Action Plan'!$B$5:$B$104,B14),"")</x:f>
      </x:c>
      <x:c r="E14" s="15"/>
      <x:c r="F14" s="15"/>
      <x:c r="G14" s="15"/>
      <x:c r="H14" s="15"/>
      <x:c r="I14" s="15" t="str">
        <x:f>IF(A14="","",IF(E14="Complete","Green",IF(E14="Blocked","Red",IF(OR(E14="Waiting External",E14="At Risk"),"Yellow",IF(AND(D14&lt;&gt;"",D14&gt;C14),"Yellow",IF(TODAY()&gt;C14,"Red","Green"))))))</x:f>
      </x:c>
      <x:c r="J14" s="15"/>
    </x:row>
    <x:row r="15">
      <x:c r="A15" s="15"/>
      <x:c r="B15" s="15"/>
      <x:c r="C15" s="20"/>
      <x:c r="D15" s="20" t="str">
        <x:f>IFERROR(MINIFS('Action Plan'!$J$5:$J$104,'Action Plan'!$B$5:$B$104,B15),"")</x:f>
      </x:c>
      <x:c r="E15" s="15"/>
      <x:c r="F15" s="15"/>
      <x:c r="G15" s="15"/>
      <x:c r="H15" s="15"/>
      <x:c r="I15" s="15" t="str">
        <x:f>IF(A15="","",IF(E15="Complete","Green",IF(E15="Blocked","Red",IF(OR(E15="Waiting External",E15="At Risk"),"Yellow",IF(AND(D15&lt;&gt;"",D15&gt;C15),"Yellow",IF(TODAY()&gt;C15,"Red","Green"))))))</x:f>
      </x:c>
      <x:c r="J15" s="15"/>
    </x:row>
    <x:row r="16">
      <x:c r="A16" s="15"/>
      <x:c r="B16" s="15"/>
      <x:c r="C16" s="20"/>
      <x:c r="D16" s="20" t="str">
        <x:f>IFERROR(MINIFS('Action Plan'!$J$5:$J$104,'Action Plan'!$B$5:$B$104,B16),"")</x:f>
      </x:c>
      <x:c r="E16" s="15"/>
      <x:c r="F16" s="15"/>
      <x:c r="G16" s="15"/>
      <x:c r="H16" s="15"/>
      <x:c r="I16" s="15" t="str">
        <x:f>IF(A16="","",IF(E16="Complete","Green",IF(E16="Blocked","Red",IF(OR(E16="Waiting External",E16="At Risk"),"Yellow",IF(AND(D16&lt;&gt;"",D16&gt;C16),"Yellow",IF(TODAY()&gt;C16,"Red","Green"))))))</x:f>
      </x:c>
      <x:c r="J16" s="15"/>
    </x:row>
    <x:row r="17">
      <x:c r="A17" s="15"/>
      <x:c r="B17" s="15"/>
      <x:c r="C17" s="20"/>
      <x:c r="D17" s="20" t="str">
        <x:f>IFERROR(MINIFS('Action Plan'!$J$5:$J$104,'Action Plan'!$B$5:$B$104,B17),"")</x:f>
      </x:c>
      <x:c r="E17" s="15"/>
      <x:c r="F17" s="15"/>
      <x:c r="G17" s="15"/>
      <x:c r="H17" s="15"/>
      <x:c r="I17" s="15" t="str">
        <x:f>IF(A17="","",IF(E17="Complete","Green",IF(E17="Blocked","Red",IF(OR(E17="Waiting External",E17="At Risk"),"Yellow",IF(AND(D17&lt;&gt;"",D17&gt;C17),"Yellow",IF(TODAY()&gt;C17,"Red","Green"))))))</x:f>
      </x:c>
      <x:c r="J17" s="15"/>
    </x:row>
    <x:row r="18">
      <x:c r="A18" s="15"/>
      <x:c r="B18" s="15"/>
      <x:c r="C18" s="20"/>
      <x:c r="D18" s="20" t="str">
        <x:f>IFERROR(MINIFS('Action Plan'!$J$5:$J$104,'Action Plan'!$B$5:$B$104,B18),"")</x:f>
      </x:c>
      <x:c r="E18" s="15"/>
      <x:c r="F18" s="15"/>
      <x:c r="G18" s="15"/>
      <x:c r="H18" s="15"/>
      <x:c r="I18" s="15" t="str">
        <x:f>IF(A18="","",IF(E18="Complete","Green",IF(E18="Blocked","Red",IF(OR(E18="Waiting External",E18="At Risk"),"Yellow",IF(AND(D18&lt;&gt;"",D18&gt;C18),"Yellow",IF(TODAY()&gt;C18,"Red","Green"))))))</x:f>
      </x:c>
      <x:c r="J18" s="15"/>
    </x:row>
    <x:row r="19">
      <x:c r="A19" s="15"/>
      <x:c r="B19" s="15"/>
      <x:c r="C19" s="20"/>
      <x:c r="D19" s="20" t="str">
        <x:f>IFERROR(MINIFS('Action Plan'!$J$5:$J$104,'Action Plan'!$B$5:$B$104,B19),"")</x:f>
      </x:c>
      <x:c r="E19" s="15"/>
      <x:c r="F19" s="15"/>
      <x:c r="G19" s="15"/>
      <x:c r="H19" s="15"/>
      <x:c r="I19" s="15" t="str">
        <x:f>IF(A19="","",IF(E19="Complete","Green",IF(E19="Blocked","Red",IF(OR(E19="Waiting External",E19="At Risk"),"Yellow",IF(AND(D19&lt;&gt;"",D19&gt;C19),"Yellow",IF(TODAY()&gt;C19,"Red","Green"))))))</x:f>
      </x:c>
      <x:c r="J19" s="15"/>
    </x:row>
    <x:row r="20">
      <x:c r="A20" s="15"/>
      <x:c r="B20" s="15"/>
      <x:c r="C20" s="20"/>
      <x:c r="D20" s="20" t="str">
        <x:f>IFERROR(MINIFS('Action Plan'!$J$5:$J$104,'Action Plan'!$B$5:$B$104,B20),"")</x:f>
      </x:c>
      <x:c r="E20" s="15"/>
      <x:c r="F20" s="15"/>
      <x:c r="G20" s="15"/>
      <x:c r="H20" s="15"/>
      <x:c r="I20" s="15" t="str">
        <x:f>IF(A20="","",IF(E20="Complete","Green",IF(E20="Blocked","Red",IF(OR(E20="Waiting External",E20="At Risk"),"Yellow",IF(AND(D20&lt;&gt;"",D20&gt;C20),"Yellow",IF(TODAY()&gt;C20,"Red","Green"))))))</x:f>
      </x:c>
      <x:c r="J20" s="15"/>
    </x:row>
    <x:row r="21">
      <x:c r="A21" s="15"/>
      <x:c r="B21" s="15"/>
      <x:c r="C21" s="20"/>
      <x:c r="D21" s="20" t="str">
        <x:f>IFERROR(MINIFS('Action Plan'!$J$5:$J$104,'Action Plan'!$B$5:$B$104,B21),"")</x:f>
      </x:c>
      <x:c r="E21" s="15"/>
      <x:c r="F21" s="15"/>
      <x:c r="G21" s="15"/>
      <x:c r="H21" s="15"/>
      <x:c r="I21" s="15" t="str">
        <x:f>IF(A21="","",IF(E21="Complete","Green",IF(E21="Blocked","Red",IF(OR(E21="Waiting External",E21="At Risk"),"Yellow",IF(AND(D21&lt;&gt;"",D21&gt;C21),"Yellow",IF(TODAY()&gt;C21,"Red","Green"))))))</x:f>
      </x:c>
      <x:c r="J21" s="15"/>
    </x:row>
    <x:row r="22">
      <x:c r="A22" s="15"/>
      <x:c r="B22" s="15"/>
      <x:c r="C22" s="20"/>
      <x:c r="D22" s="20" t="str">
        <x:f>IFERROR(MINIFS('Action Plan'!$J$5:$J$104,'Action Plan'!$B$5:$B$104,B22),"")</x:f>
      </x:c>
      <x:c r="E22" s="15"/>
      <x:c r="F22" s="15"/>
      <x:c r="G22" s="15"/>
      <x:c r="H22" s="15"/>
      <x:c r="I22" s="15" t="str">
        <x:f>IF(A22="","",IF(E22="Complete","Green",IF(E22="Blocked","Red",IF(OR(E22="Waiting External",E22="At Risk"),"Yellow",IF(AND(D22&lt;&gt;"",D22&gt;C22),"Yellow",IF(TODAY()&gt;C22,"Red","Green"))))))</x:f>
      </x:c>
      <x:c r="J22" s="15"/>
    </x:row>
    <x:row r="23">
      <x:c r="A23" s="15"/>
      <x:c r="B23" s="15"/>
      <x:c r="C23" s="20"/>
      <x:c r="D23" s="20" t="str">
        <x:f>IFERROR(MINIFS('Action Plan'!$J$5:$J$104,'Action Plan'!$B$5:$B$104,B23),"")</x:f>
      </x:c>
      <x:c r="E23" s="15"/>
      <x:c r="F23" s="15"/>
      <x:c r="G23" s="15"/>
      <x:c r="H23" s="15"/>
      <x:c r="I23" s="15" t="str">
        <x:f>IF(A23="","",IF(E23="Complete","Green",IF(E23="Blocked","Red",IF(OR(E23="Waiting External",E23="At Risk"),"Yellow",IF(AND(D23&lt;&gt;"",D23&gt;C23),"Yellow",IF(TODAY()&gt;C23,"Red","Green"))))))</x:f>
      </x:c>
      <x:c r="J23" s="15"/>
    </x:row>
    <x:row r="24">
      <x:c r="A24" s="15"/>
      <x:c r="B24" s="15"/>
      <x:c r="C24" s="20"/>
      <x:c r="D24" s="20" t="str">
        <x:f>IFERROR(MINIFS('Action Plan'!$J$5:$J$104,'Action Plan'!$B$5:$B$104,B24),"")</x:f>
      </x:c>
      <x:c r="E24" s="15"/>
      <x:c r="F24" s="15"/>
      <x:c r="G24" s="15"/>
      <x:c r="H24" s="15"/>
      <x:c r="I24" s="15" t="str">
        <x:f>IF(A24="","",IF(E24="Complete","Green",IF(E24="Blocked","Red",IF(OR(E24="Waiting External",E24="At Risk"),"Yellow",IF(AND(D24&lt;&gt;"",D24&gt;C24),"Yellow",IF(TODAY()&gt;C24,"Red","Green"))))))</x:f>
      </x:c>
      <x:c r="J24" s="15"/>
    </x:row>
    <x:row r="25">
      <x:c r="A25" s="15"/>
      <x:c r="B25" s="15"/>
      <x:c r="C25" s="20"/>
      <x:c r="D25" s="20" t="str">
        <x:f>IFERROR(MINIFS('Action Plan'!$J$5:$J$104,'Action Plan'!$B$5:$B$104,B25),"")</x:f>
      </x:c>
      <x:c r="E25" s="15"/>
      <x:c r="F25" s="15"/>
      <x:c r="G25" s="15"/>
      <x:c r="H25" s="15"/>
      <x:c r="I25" s="15" t="str">
        <x:f>IF(A25="","",IF(E25="Complete","Green",IF(E25="Blocked","Red",IF(OR(E25="Waiting External",E25="At Risk"),"Yellow",IF(AND(D25&lt;&gt;"",D25&gt;C25),"Yellow",IF(TODAY()&gt;C25,"Red","Green"))))))</x:f>
      </x:c>
      <x:c r="J25" s="15"/>
    </x:row>
    <x:row r="26">
      <x:c r="A26" s="15"/>
      <x:c r="B26" s="15"/>
      <x:c r="C26" s="20"/>
      <x:c r="D26" s="20" t="str">
        <x:f>IFERROR(MINIFS('Action Plan'!$J$5:$J$104,'Action Plan'!$B$5:$B$104,B26),"")</x:f>
      </x:c>
      <x:c r="E26" s="15"/>
      <x:c r="F26" s="15"/>
      <x:c r="G26" s="15"/>
      <x:c r="H26" s="15"/>
      <x:c r="I26" s="15" t="str">
        <x:f>IF(A26="","",IF(E26="Complete","Green",IF(E26="Blocked","Red",IF(OR(E26="Waiting External",E26="At Risk"),"Yellow",IF(AND(D26&lt;&gt;"",D26&gt;C26),"Yellow",IF(TODAY()&gt;C26,"Red","Green"))))))</x:f>
      </x:c>
      <x:c r="J26" s="15"/>
    </x:row>
    <x:row r="27">
      <x:c r="A27" s="15"/>
      <x:c r="B27" s="15"/>
      <x:c r="C27" s="20"/>
      <x:c r="D27" s="20" t="str">
        <x:f>IFERROR(MINIFS('Action Plan'!$J$5:$J$104,'Action Plan'!$B$5:$B$104,B27),"")</x:f>
      </x:c>
      <x:c r="E27" s="15"/>
      <x:c r="F27" s="15"/>
      <x:c r="G27" s="15"/>
      <x:c r="H27" s="15"/>
      <x:c r="I27" s="15" t="str">
        <x:f>IF(A27="","",IF(E27="Complete","Green",IF(E27="Blocked","Red",IF(OR(E27="Waiting External",E27="At Risk"),"Yellow",IF(AND(D27&lt;&gt;"",D27&gt;C27),"Yellow",IF(TODAY()&gt;C27,"Red","Green"))))))</x:f>
      </x:c>
      <x:c r="J27" s="15"/>
    </x:row>
    <x:row r="28">
      <x:c r="A28" s="15"/>
      <x:c r="B28" s="15"/>
      <x:c r="C28" s="20"/>
      <x:c r="D28" s="20" t="str">
        <x:f>IFERROR(MINIFS('Action Plan'!$J$5:$J$104,'Action Plan'!$B$5:$B$104,B28),"")</x:f>
      </x:c>
      <x:c r="E28" s="15"/>
      <x:c r="F28" s="15"/>
      <x:c r="G28" s="15"/>
      <x:c r="H28" s="15"/>
      <x:c r="I28" s="15" t="str">
        <x:f>IF(A28="","",IF(E28="Complete","Green",IF(E28="Blocked","Red",IF(OR(E28="Waiting External",E28="At Risk"),"Yellow",IF(AND(D28&lt;&gt;"",D28&gt;C28),"Yellow",IF(TODAY()&gt;C28,"Red","Green"))))))</x:f>
      </x:c>
      <x:c r="J28" s="15"/>
    </x:row>
    <x:row r="29">
      <x:c r="A29" s="15"/>
      <x:c r="B29" s="15"/>
      <x:c r="C29" s="20"/>
      <x:c r="D29" s="20" t="str">
        <x:f>IFERROR(MINIFS('Action Plan'!$J$5:$J$104,'Action Plan'!$B$5:$B$104,B29),"")</x:f>
      </x:c>
      <x:c r="E29" s="15"/>
      <x:c r="F29" s="15"/>
      <x:c r="G29" s="15"/>
      <x:c r="H29" s="15"/>
      <x:c r="I29" s="15" t="str">
        <x:f>IF(A29="","",IF(E29="Complete","Green",IF(E29="Blocked","Red",IF(OR(E29="Waiting External",E29="At Risk"),"Yellow",IF(AND(D29&lt;&gt;"",D29&gt;C29),"Yellow",IF(TODAY()&gt;C29,"Red","Green"))))))</x:f>
      </x:c>
      <x:c r="J29" s="15"/>
    </x:row>
    <x:row r="30">
      <x:c r="A30" s="15"/>
      <x:c r="B30" s="15"/>
      <x:c r="C30" s="20"/>
      <x:c r="D30" s="20" t="str">
        <x:f>IFERROR(MINIFS('Action Plan'!$J$5:$J$104,'Action Plan'!$B$5:$B$104,B30),"")</x:f>
      </x:c>
      <x:c r="E30" s="15"/>
      <x:c r="F30" s="15"/>
      <x:c r="G30" s="15"/>
      <x:c r="H30" s="15"/>
      <x:c r="I30" s="15" t="str">
        <x:f>IF(A30="","",IF(E30="Complete","Green",IF(E30="Blocked","Red",IF(OR(E30="Waiting External",E30="At Risk"),"Yellow",IF(AND(D30&lt;&gt;"",D30&gt;C30),"Yellow",IF(TODAY()&gt;C30,"Red","Green"))))))</x:f>
      </x:c>
      <x:c r="J30" s="15"/>
    </x:row>
    <x:row r="31">
      <x:c r="A31" s="15"/>
      <x:c r="B31" s="15"/>
      <x:c r="C31" s="20"/>
      <x:c r="D31" s="20" t="str">
        <x:f>IFERROR(MINIFS('Action Plan'!$J$5:$J$104,'Action Plan'!$B$5:$B$104,B31),"")</x:f>
      </x:c>
      <x:c r="E31" s="15"/>
      <x:c r="F31" s="15"/>
      <x:c r="G31" s="15"/>
      <x:c r="H31" s="15"/>
      <x:c r="I31" s="15" t="str">
        <x:f>IF(A31="","",IF(E31="Complete","Green",IF(E31="Blocked","Red",IF(OR(E31="Waiting External",E31="At Risk"),"Yellow",IF(AND(D31&lt;&gt;"",D31&gt;C31),"Yellow",IF(TODAY()&gt;C31,"Red","Green"))))))</x:f>
      </x:c>
      <x:c r="J31" s="15"/>
    </x:row>
    <x:row r="32">
      <x:c r="A32" s="15"/>
      <x:c r="B32" s="15"/>
      <x:c r="C32" s="20"/>
      <x:c r="D32" s="20" t="str">
        <x:f>IFERROR(MINIFS('Action Plan'!$J$5:$J$104,'Action Plan'!$B$5:$B$104,B32),"")</x:f>
      </x:c>
      <x:c r="E32" s="15"/>
      <x:c r="F32" s="15"/>
      <x:c r="G32" s="15"/>
      <x:c r="H32" s="15"/>
      <x:c r="I32" s="15" t="str">
        <x:f>IF(A32="","",IF(E32="Complete","Green",IF(E32="Blocked","Red",IF(OR(E32="Waiting External",E32="At Risk"),"Yellow",IF(AND(D32&lt;&gt;"",D32&gt;C32),"Yellow",IF(TODAY()&gt;C32,"Red","Green"))))))</x:f>
      </x:c>
      <x:c r="J32" s="15"/>
    </x:row>
    <x:row r="33">
      <x:c r="A33" s="15"/>
      <x:c r="B33" s="15"/>
      <x:c r="C33" s="20"/>
      <x:c r="D33" s="20" t="str">
        <x:f>IFERROR(MINIFS('Action Plan'!$J$5:$J$104,'Action Plan'!$B$5:$B$104,B33),"")</x:f>
      </x:c>
      <x:c r="E33" s="15"/>
      <x:c r="F33" s="15"/>
      <x:c r="G33" s="15"/>
      <x:c r="H33" s="15"/>
      <x:c r="I33" s="15" t="str">
        <x:f>IF(A33="","",IF(E33="Complete","Green",IF(E33="Blocked","Red",IF(OR(E33="Waiting External",E33="At Risk"),"Yellow",IF(AND(D33&lt;&gt;"",D33&gt;C33),"Yellow",IF(TODAY()&gt;C33,"Red","Green"))))))</x:f>
      </x:c>
      <x:c r="J33" s="15"/>
    </x:row>
    <x:row r="34">
      <x:c r="A34" s="15"/>
      <x:c r="B34" s="15"/>
      <x:c r="C34" s="20"/>
      <x:c r="D34" s="20" t="str">
        <x:f>IFERROR(MINIFS('Action Plan'!$J$5:$J$104,'Action Plan'!$B$5:$B$104,B34),"")</x:f>
      </x:c>
      <x:c r="E34" s="15"/>
      <x:c r="F34" s="15"/>
      <x:c r="G34" s="15"/>
      <x:c r="H34" s="15"/>
      <x:c r="I34" s="15" t="str">
        <x:f>IF(A34="","",IF(E34="Complete","Green",IF(E34="Blocked","Red",IF(OR(E34="Waiting External",E34="At Risk"),"Yellow",IF(AND(D34&lt;&gt;"",D34&gt;C34),"Yellow",IF(TODAY()&gt;C34,"Red","Green"))))))</x:f>
      </x:c>
      <x:c r="J34" s="15"/>
    </x:row>
    <x:row r="35">
      <x:c r="A35" s="15"/>
      <x:c r="B35" s="15"/>
      <x:c r="C35" s="20"/>
      <x:c r="D35" s="20" t="str">
        <x:f>IFERROR(MINIFS('Action Plan'!$J$5:$J$104,'Action Plan'!$B$5:$B$104,B35),"")</x:f>
      </x:c>
      <x:c r="E35" s="15"/>
      <x:c r="F35" s="15"/>
      <x:c r="G35" s="15"/>
      <x:c r="H35" s="15"/>
      <x:c r="I35" s="15" t="str">
        <x:f>IF(A35="","",IF(E35="Complete","Green",IF(E35="Blocked","Red",IF(OR(E35="Waiting External",E35="At Risk"),"Yellow",IF(AND(D35&lt;&gt;"",D35&gt;C35),"Yellow",IF(TODAY()&gt;C35,"Red","Green"))))))</x:f>
      </x:c>
      <x:c r="J35" s="15"/>
    </x:row>
    <x:row r="36">
      <x:c r="A36" s="15"/>
      <x:c r="B36" s="15"/>
      <x:c r="C36" s="20"/>
      <x:c r="D36" s="20" t="str">
        <x:f>IFERROR(MINIFS('Action Plan'!$J$5:$J$104,'Action Plan'!$B$5:$B$104,B36),"")</x:f>
      </x:c>
      <x:c r="E36" s="15"/>
      <x:c r="F36" s="15"/>
      <x:c r="G36" s="15"/>
      <x:c r="H36" s="15"/>
      <x:c r="I36" s="15" t="str">
        <x:f>IF(A36="","",IF(E36="Complete","Green",IF(E36="Blocked","Red",IF(OR(E36="Waiting External",E36="At Risk"),"Yellow",IF(AND(D36&lt;&gt;"",D36&gt;C36),"Yellow",IF(TODAY()&gt;C36,"Red","Green"))))))</x:f>
      </x:c>
      <x:c r="J36" s="15"/>
    </x:row>
    <x:row r="37">
      <x:c r="A37" s="15"/>
      <x:c r="B37" s="15"/>
      <x:c r="C37" s="20"/>
      <x:c r="D37" s="20" t="str">
        <x:f>IFERROR(MINIFS('Action Plan'!$J$5:$J$104,'Action Plan'!$B$5:$B$104,B37),"")</x:f>
      </x:c>
      <x:c r="E37" s="15"/>
      <x:c r="F37" s="15"/>
      <x:c r="G37" s="15"/>
      <x:c r="H37" s="15"/>
      <x:c r="I37" s="15" t="str">
        <x:f>IF(A37="","",IF(E37="Complete","Green",IF(E37="Blocked","Red",IF(OR(E37="Waiting External",E37="At Risk"),"Yellow",IF(AND(D37&lt;&gt;"",D37&gt;C37),"Yellow",IF(TODAY()&gt;C37,"Red","Green"))))))</x:f>
      </x:c>
      <x:c r="J37" s="15"/>
    </x:row>
    <x:row r="38">
      <x:c r="A38" s="15"/>
      <x:c r="B38" s="15"/>
      <x:c r="C38" s="20"/>
      <x:c r="D38" s="20" t="str">
        <x:f>IFERROR(MINIFS('Action Plan'!$J$5:$J$104,'Action Plan'!$B$5:$B$104,B38),"")</x:f>
      </x:c>
      <x:c r="E38" s="15"/>
      <x:c r="F38" s="15"/>
      <x:c r="G38" s="15"/>
      <x:c r="H38" s="15"/>
      <x:c r="I38" s="15" t="str">
        <x:f>IF(A38="","",IF(E38="Complete","Green",IF(E38="Blocked","Red",IF(OR(E38="Waiting External",E38="At Risk"),"Yellow",IF(AND(D38&lt;&gt;"",D38&gt;C38),"Yellow",IF(TODAY()&gt;C38,"Red","Green"))))))</x:f>
      </x:c>
      <x:c r="J38" s="15"/>
    </x:row>
    <x:row r="39">
      <x:c r="A39" s="15"/>
      <x:c r="B39" s="15"/>
      <x:c r="C39" s="20"/>
      <x:c r="D39" s="20" t="str">
        <x:f>IFERROR(MINIFS('Action Plan'!$J$5:$J$104,'Action Plan'!$B$5:$B$104,B39),"")</x:f>
      </x:c>
      <x:c r="E39" s="15"/>
      <x:c r="F39" s="15"/>
      <x:c r="G39" s="15"/>
      <x:c r="H39" s="15"/>
      <x:c r="I39" s="15" t="str">
        <x:f>IF(A39="","",IF(E39="Complete","Green",IF(E39="Blocked","Red",IF(OR(E39="Waiting External",E39="At Risk"),"Yellow",IF(AND(D39&lt;&gt;"",D39&gt;C39),"Yellow",IF(TODAY()&gt;C39,"Red","Green"))))))</x:f>
      </x:c>
      <x:c r="J39" s="15"/>
    </x:row>
    <x:row r="40">
      <x:c r="A40" s="15"/>
      <x:c r="B40" s="15"/>
      <x:c r="C40" s="20"/>
      <x:c r="D40" s="20" t="str">
        <x:f>IFERROR(MINIFS('Action Plan'!$J$5:$J$104,'Action Plan'!$B$5:$B$104,B40),"")</x:f>
      </x:c>
      <x:c r="E40" s="15"/>
      <x:c r="F40" s="15"/>
      <x:c r="G40" s="15"/>
      <x:c r="H40" s="15"/>
      <x:c r="I40" s="15" t="str">
        <x:f>IF(A40="","",IF(E40="Complete","Green",IF(E40="Blocked","Red",IF(OR(E40="Waiting External",E40="At Risk"),"Yellow",IF(AND(D40&lt;&gt;"",D40&gt;C40),"Yellow",IF(TODAY()&gt;C40,"Red","Green"))))))</x:f>
      </x:c>
      <x:c r="J40" s="15"/>
    </x:row>
    <x:row r="41">
      <x:c r="A41" s="15"/>
      <x:c r="B41" s="15"/>
      <x:c r="C41" s="20"/>
      <x:c r="D41" s="20" t="str">
        <x:f>IFERROR(MINIFS('Action Plan'!$J$5:$J$104,'Action Plan'!$B$5:$B$104,B41),"")</x:f>
      </x:c>
      <x:c r="E41" s="15"/>
      <x:c r="F41" s="15"/>
      <x:c r="G41" s="15"/>
      <x:c r="H41" s="15"/>
      <x:c r="I41" s="15" t="str">
        <x:f>IF(A41="","",IF(E41="Complete","Green",IF(E41="Blocked","Red",IF(OR(E41="Waiting External",E41="At Risk"),"Yellow",IF(AND(D41&lt;&gt;"",D41&gt;C41),"Yellow",IF(TODAY()&gt;C41,"Red","Green"))))))</x:f>
      </x:c>
      <x:c r="J41" s="15"/>
    </x:row>
    <x:row r="42">
      <x:c r="A42" s="15"/>
      <x:c r="B42" s="15"/>
      <x:c r="C42" s="20"/>
      <x:c r="D42" s="20" t="str">
        <x:f>IFERROR(MINIFS('Action Plan'!$J$5:$J$104,'Action Plan'!$B$5:$B$104,B42),"")</x:f>
      </x:c>
      <x:c r="E42" s="15"/>
      <x:c r="F42" s="15"/>
      <x:c r="G42" s="15"/>
      <x:c r="H42" s="15"/>
      <x:c r="I42" s="15" t="str">
        <x:f>IF(A42="","",IF(E42="Complete","Green",IF(E42="Blocked","Red",IF(OR(E42="Waiting External",E42="At Risk"),"Yellow",IF(AND(D42&lt;&gt;"",D42&gt;C42),"Yellow",IF(TODAY()&gt;C42,"Red","Green"))))))</x:f>
      </x:c>
      <x:c r="J42" s="15"/>
    </x:row>
    <x:row r="43">
      <x:c r="A43" s="15"/>
      <x:c r="B43" s="15"/>
      <x:c r="C43" s="20"/>
      <x:c r="D43" s="20" t="str">
        <x:f>IFERROR(MINIFS('Action Plan'!$J$5:$J$104,'Action Plan'!$B$5:$B$104,B43),"")</x:f>
      </x:c>
      <x:c r="E43" s="15"/>
      <x:c r="F43" s="15"/>
      <x:c r="G43" s="15"/>
      <x:c r="H43" s="15"/>
      <x:c r="I43" s="15" t="str">
        <x:f>IF(A43="","",IF(E43="Complete","Green",IF(E43="Blocked","Red",IF(OR(E43="Waiting External",E43="At Risk"),"Yellow",IF(AND(D43&lt;&gt;"",D43&gt;C43),"Yellow",IF(TODAY()&gt;C43,"Red","Green"))))))</x:f>
      </x:c>
      <x:c r="J43" s="15"/>
    </x:row>
    <x:row r="44">
      <x:c r="A44" s="15"/>
      <x:c r="B44" s="15"/>
      <x:c r="C44" s="20"/>
      <x:c r="D44" s="20" t="str">
        <x:f>IFERROR(MINIFS('Action Plan'!$J$5:$J$104,'Action Plan'!$B$5:$B$104,B44),"")</x:f>
      </x:c>
      <x:c r="E44" s="15"/>
      <x:c r="F44" s="15"/>
      <x:c r="G44" s="15"/>
      <x:c r="H44" s="15"/>
      <x:c r="I44" s="15" t="str">
        <x:f>IF(A44="","",IF(E44="Complete","Green",IF(E44="Blocked","Red",IF(OR(E44="Waiting External",E44="At Risk"),"Yellow",IF(AND(D44&lt;&gt;"",D44&gt;C44),"Yellow",IF(TODAY()&gt;C44,"Red","Green"))))))</x:f>
      </x:c>
      <x:c r="J44" s="15"/>
    </x:row>
    <x:row r="45">
      <x:c r="A45" s="15"/>
      <x:c r="B45" s="15"/>
      <x:c r="C45" s="20"/>
      <x:c r="D45" s="20" t="str">
        <x:f>IFERROR(MINIFS('Action Plan'!$J$5:$J$104,'Action Plan'!$B$5:$B$104,B45),"")</x:f>
      </x:c>
      <x:c r="E45" s="15"/>
      <x:c r="F45" s="15"/>
      <x:c r="G45" s="15"/>
      <x:c r="H45" s="15"/>
      <x:c r="I45" s="15" t="str">
        <x:f>IF(A45="","",IF(E45="Complete","Green",IF(E45="Blocked","Red",IF(OR(E45="Waiting External",E45="At Risk"),"Yellow",IF(AND(D45&lt;&gt;"",D45&gt;C45),"Yellow",IF(TODAY()&gt;C45,"Red","Green"))))))</x:f>
      </x:c>
      <x:c r="J45" s="15"/>
    </x:row>
    <x:row r="46">
      <x:c r="A46" s="15"/>
      <x:c r="B46" s="15"/>
      <x:c r="C46" s="20"/>
      <x:c r="D46" s="20" t="str">
        <x:f>IFERROR(MINIFS('Action Plan'!$J$5:$J$104,'Action Plan'!$B$5:$B$104,B46),"")</x:f>
      </x:c>
      <x:c r="E46" s="15"/>
      <x:c r="F46" s="15"/>
      <x:c r="G46" s="15"/>
      <x:c r="H46" s="15"/>
      <x:c r="I46" s="15" t="str">
        <x:f>IF(A46="","",IF(E46="Complete","Green",IF(E46="Blocked","Red",IF(OR(E46="Waiting External",E46="At Risk"),"Yellow",IF(AND(D46&lt;&gt;"",D46&gt;C46),"Yellow",IF(TODAY()&gt;C46,"Red","Green"))))))</x:f>
      </x:c>
      <x:c r="J46" s="15"/>
    </x:row>
    <x:row r="47">
      <x:c r="A47" s="15"/>
      <x:c r="B47" s="15"/>
      <x:c r="C47" s="20"/>
      <x:c r="D47" s="20" t="str">
        <x:f>IFERROR(MINIFS('Action Plan'!$J$5:$J$104,'Action Plan'!$B$5:$B$104,B47),"")</x:f>
      </x:c>
      <x:c r="E47" s="15"/>
      <x:c r="F47" s="15"/>
      <x:c r="G47" s="15"/>
      <x:c r="H47" s="15"/>
      <x:c r="I47" s="15" t="str">
        <x:f>IF(A47="","",IF(E47="Complete","Green",IF(E47="Blocked","Red",IF(OR(E47="Waiting External",E47="At Risk"),"Yellow",IF(AND(D47&lt;&gt;"",D47&gt;C47),"Yellow",IF(TODAY()&gt;C47,"Red","Green"))))))</x:f>
      </x:c>
      <x:c r="J47" s="15"/>
    </x:row>
    <x:row r="48">
      <x:c r="A48" s="15"/>
      <x:c r="B48" s="15"/>
      <x:c r="C48" s="20"/>
      <x:c r="D48" s="20" t="str">
        <x:f>IFERROR(MINIFS('Action Plan'!$J$5:$J$104,'Action Plan'!$B$5:$B$104,B48),"")</x:f>
      </x:c>
      <x:c r="E48" s="15"/>
      <x:c r="F48" s="15"/>
      <x:c r="G48" s="15"/>
      <x:c r="H48" s="15"/>
      <x:c r="I48" s="15" t="str">
        <x:f>IF(A48="","",IF(E48="Complete","Green",IF(E48="Blocked","Red",IF(OR(E48="Waiting External",E48="At Risk"),"Yellow",IF(AND(D48&lt;&gt;"",D48&gt;C48),"Yellow",IF(TODAY()&gt;C48,"Red","Green"))))))</x:f>
      </x:c>
      <x:c r="J48" s="15"/>
    </x:row>
    <x:row r="49">
      <x:c r="A49" s="15"/>
      <x:c r="B49" s="15"/>
      <x:c r="C49" s="20"/>
      <x:c r="D49" s="20" t="str">
        <x:f>IFERROR(MINIFS('Action Plan'!$J$5:$J$104,'Action Plan'!$B$5:$B$104,B49),"")</x:f>
      </x:c>
      <x:c r="E49" s="15"/>
      <x:c r="F49" s="15"/>
      <x:c r="G49" s="15"/>
      <x:c r="H49" s="15"/>
      <x:c r="I49" s="15" t="str">
        <x:f>IF(A49="","",IF(E49="Complete","Green",IF(E49="Blocked","Red",IF(OR(E49="Waiting External",E49="At Risk"),"Yellow",IF(AND(D49&lt;&gt;"",D49&gt;C49),"Yellow",IF(TODAY()&gt;C49,"Red","Green"))))))</x:f>
      </x:c>
      <x:c r="J49" s="15"/>
    </x:row>
    <x:row r="50">
      <x:c r="A50" s="15"/>
      <x:c r="B50" s="15"/>
      <x:c r="C50" s="20"/>
      <x:c r="D50" s="20" t="str">
        <x:f>IFERROR(MINIFS('Action Plan'!$J$5:$J$104,'Action Plan'!$B$5:$B$104,B50),"")</x:f>
      </x:c>
      <x:c r="E50" s="15"/>
      <x:c r="F50" s="15"/>
      <x:c r="G50" s="15"/>
      <x:c r="H50" s="15"/>
      <x:c r="I50" s="15" t="str">
        <x:f>IF(A50="","",IF(E50="Complete","Green",IF(E50="Blocked","Red",IF(OR(E50="Waiting External",E50="At Risk"),"Yellow",IF(AND(D50&lt;&gt;"",D50&gt;C50),"Yellow",IF(TODAY()&gt;C50,"Red","Green"))))))</x:f>
      </x:c>
      <x:c r="J50" s="15"/>
    </x:row>
    <x:row r="51">
      <x:c r="A51" s="15"/>
      <x:c r="B51" s="15"/>
      <x:c r="C51" s="20"/>
      <x:c r="D51" s="20" t="str">
        <x:f>IFERROR(MINIFS('Action Plan'!$J$5:$J$104,'Action Plan'!$B$5:$B$104,B51),"")</x:f>
      </x:c>
      <x:c r="E51" s="15"/>
      <x:c r="F51" s="15"/>
      <x:c r="G51" s="15"/>
      <x:c r="H51" s="15"/>
      <x:c r="I51" s="15" t="str">
        <x:f>IF(A51="","",IF(E51="Complete","Green",IF(E51="Blocked","Red",IF(OR(E51="Waiting External",E51="At Risk"),"Yellow",IF(AND(D51&lt;&gt;"",D51&gt;C51),"Yellow",IF(TODAY()&gt;C51,"Red","Green"))))))</x:f>
      </x:c>
      <x:c r="J51" s="15"/>
    </x:row>
    <x:row r="52">
      <x:c r="A52" s="15"/>
      <x:c r="B52" s="15"/>
      <x:c r="C52" s="20"/>
      <x:c r="D52" s="20" t="str">
        <x:f>IFERROR(MINIFS('Action Plan'!$J$5:$J$104,'Action Plan'!$B$5:$B$104,B52),"")</x:f>
      </x:c>
      <x:c r="E52" s="15"/>
      <x:c r="F52" s="15"/>
      <x:c r="G52" s="15"/>
      <x:c r="H52" s="15"/>
      <x:c r="I52" s="15" t="str">
        <x:f>IF(A52="","",IF(E52="Complete","Green",IF(E52="Blocked","Red",IF(OR(E52="Waiting External",E52="At Risk"),"Yellow",IF(AND(D52&lt;&gt;"",D52&gt;C52),"Yellow",IF(TODAY()&gt;C52,"Red","Green"))))))</x:f>
      </x:c>
      <x:c r="J52" s="15"/>
    </x:row>
    <x:row r="53">
      <x:c r="A53" s="15"/>
      <x:c r="B53" s="15"/>
      <x:c r="C53" s="20"/>
      <x:c r="D53" s="20" t="str">
        <x:f>IFERROR(MINIFS('Action Plan'!$J$5:$J$104,'Action Plan'!$B$5:$B$104,B53),"")</x:f>
      </x:c>
      <x:c r="E53" s="15"/>
      <x:c r="F53" s="15"/>
      <x:c r="G53" s="15"/>
      <x:c r="H53" s="15"/>
      <x:c r="I53" s="15" t="str">
        <x:f>IF(A53="","",IF(E53="Complete","Green",IF(E53="Blocked","Red",IF(OR(E53="Waiting External",E53="At Risk"),"Yellow",IF(AND(D53&lt;&gt;"",D53&gt;C53),"Yellow",IF(TODAY()&gt;C53,"Red","Green"))))))</x:f>
      </x:c>
      <x:c r="J53" s="15"/>
    </x:row>
    <x:row r="54">
      <x:c r="A54" s="15"/>
      <x:c r="B54" s="15"/>
      <x:c r="C54" s="20"/>
      <x:c r="D54" s="20" t="str">
        <x:f>IFERROR(MINIFS('Action Plan'!$J$5:$J$104,'Action Plan'!$B$5:$B$104,B54),"")</x:f>
      </x:c>
      <x:c r="E54" s="15"/>
      <x:c r="F54" s="15"/>
      <x:c r="G54" s="15"/>
      <x:c r="H54" s="15"/>
      <x:c r="I54" s="15" t="str">
        <x:f>IF(A54="","",IF(E54="Complete","Green",IF(E54="Blocked","Red",IF(OR(E54="Waiting External",E54="At Risk"),"Yellow",IF(AND(D54&lt;&gt;"",D54&gt;C54),"Yellow",IF(TODAY()&gt;C54,"Red","Green"))))))</x:f>
      </x:c>
      <x:c r="J54" s="15"/>
    </x:row>
  </x:sheetData>
  <x:mergeCells>
    <x:mergeCell ref="A1:J1"/>
    <x:mergeCell ref="A2:J2"/>
  </x:mergeCells>
  <x:conditionalFormatting sqref="E5:E54">
    <x:cfRule type="containsText" dxfId="16" priority="1" operator="containsText" text="Complete"/>
    <x:cfRule type="containsText" dxfId="17" priority="2" operator="containsText" text="Blocked"/>
    <x:cfRule type="containsText" dxfId="18" priority="3" operator="containsText" text="At Risk"/>
    <x:cfRule type="containsText" dxfId="19" priority="4" operator="containsText" text="In Progress"/>
  </x:conditionalFormatting>
  <x:conditionalFormatting sqref="I5:I54">
    <x:cfRule type="containsText" dxfId="20" priority="5" operator="containsText" text="Green"/>
    <x:cfRule type="containsText" dxfId="21" priority="6" operator="containsText" text="Yellow"/>
    <x:cfRule type="containsText" dxfId="22" priority="7" operator="containsText" text="Red"/>
  </x:conditionalFormatting>
  <x:dataValidations count="3">
    <x:dataValidation type="list" sqref="B5:B54">
      <x:formula1>'Assumptions'!$A$27:$A$37</x:formula1>
    </x:dataValidation>
    <x:dataValidation type="list" sqref="E5:E54">
      <x:formula1>'Assumptions'!$C$27:$C$34</x:formula1>
    </x:dataValidation>
    <x:dataValidation type="list" sqref="I5:I54">
      <x:formula1>"Green,Yellow,Red"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3d723e8cca4f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0" hidden="0" customWidth="1"/>
    <x:col min="5" max="5" width="38" hidden="0" customWidth="1"/>
  </x:cols>
  <x:sheetData>
    <x:row r="1" ht="30" customHeight="1">
      <x:c r="A1" s="38" t="str">
        <x:v>Sprint Calendar</x:v>
      </x:c>
      <x:c r="B1" s="38" t="str">
        <x:v>Sprint Calendar</x:v>
      </x:c>
      <x:c r="C1" s="38" t="str">
        <x:v>Sprint Calendar</x:v>
      </x:c>
      <x:c r="D1" s="38" t="str">
        <x:v>Sprint Calendar</x:v>
      </x:c>
      <x:c r="E1" s="38" t="str">
        <x:v>Sprint Calendar</x:v>
      </x:c>
    </x:row>
    <x:row r="2" ht="34" customHeight="1">
      <x:c r="A2" s="39" t="str">
        <x:v>Fixed sprint boundaries used for schedule planning. S17 ends the day before S18 starts.</x:v>
      </x:c>
      <x:c r="B2" s="39" t="str">
        <x:v>Fixed sprint boundaries used for schedule planning. S17 ends the day before S18 starts.</x:v>
      </x:c>
      <x:c r="C2" s="39" t="str">
        <x:v>Fixed sprint boundaries used for schedule planning. S17 ends the day before S18 starts.</x:v>
      </x:c>
      <x:c r="D2" s="39" t="str">
        <x:v>Fixed sprint boundaries used for schedule planning. S17 ends the day before S18 starts.</x:v>
      </x:c>
      <x:c r="E2" s="39" t="str">
        <x:v>Fixed sprint boundaries used for schedule planning. S17 ends the day before S18 starts.</x:v>
      </x:c>
    </x:row>
    <x:row r="3">
      <x:c r="A3" s="40"/>
      <x:c r="B3" s="40"/>
      <x:c r="C3" s="40"/>
      <x:c r="D3" s="40"/>
      <x:c r="E3" s="40"/>
    </x:row>
    <x:row r="4" ht="34" customHeight="1">
      <x:c r="A4" s="44" t="str">
        <x:v>Sprint</x:v>
      </x:c>
      <x:c r="B4" s="44" t="str">
        <x:v>Start Date</x:v>
      </x:c>
      <x:c r="C4" s="44" t="str">
        <x:v>End Date</x:v>
      </x:c>
      <x:c r="D4" s="44" t="str">
        <x:v>Sprint Window</x:v>
      </x:c>
      <x:c r="E4" s="44" t="str">
        <x:v>Notes</x:v>
      </x:c>
    </x:row>
    <x:row r="5">
      <x:c r="A5" s="15" t="str">
        <x:v>S17</x:v>
      </x:c>
      <x:c r="B5" s="20" t="n">
        <x:v>46246</x:v>
      </x:c>
      <x:c r="C5" s="20" t="n">
        <x:v>46259</x:v>
      </x:c>
      <x:c r="D5" s="15" t="str">
        <x:v>S17 - 8/12-8/25</x:v>
      </x:c>
      <x:c r="E5" s="15" t="str">
        <x:v>Recovery / re-baseline sprint</x:v>
      </x:c>
    </x:row>
    <x:row r="6">
      <x:c r="A6" s="15" t="str">
        <x:v>S18</x:v>
      </x:c>
      <x:c r="B6" s="20" t="n">
        <x:v>46260</x:v>
      </x:c>
      <x:c r="C6" s="20" t="n">
        <x:v>46273</x:v>
      </x:c>
      <x:c r="D6" s="15" t="str">
        <x:v>S18 - 8/26-9/8</x:v>
      </x:c>
      <x:c r="E6" s="15" t="str">
        <x:v>Platform readiness</x:v>
      </x:c>
    </x:row>
    <x:row r="7">
      <x:c r="A7" s="15" t="str">
        <x:v>S19</x:v>
      </x:c>
      <x:c r="B7" s="20" t="n">
        <x:v>46274</x:v>
      </x:c>
      <x:c r="C7" s="20" t="n">
        <x:v>46287</x:v>
      </x:c>
      <x:c r="D7" s="15" t="str">
        <x:v>S19 - 9/9-9/22</x:v>
      </x:c>
      <x:c r="E7" s="15" t="str"/>
    </x:row>
    <x:row r="8">
      <x:c r="A8" s="15" t="str">
        <x:v>S20</x:v>
      </x:c>
      <x:c r="B8" s="20" t="n">
        <x:v>46288</x:v>
      </x:c>
      <x:c r="C8" s="20" t="n">
        <x:v>46301</x:v>
      </x:c>
      <x:c r="D8" s="15" t="str">
        <x:v>S20 - 9/23-10/6</x:v>
      </x:c>
      <x:c r="E8" s="15" t="str"/>
    </x:row>
    <x:row r="9">
      <x:c r="A9" s="15" t="str">
        <x:v>S21</x:v>
      </x:c>
      <x:c r="B9" s="20" t="n">
        <x:v>46302</x:v>
      </x:c>
      <x:c r="C9" s="20" t="n">
        <x:v>46315</x:v>
      </x:c>
      <x:c r="D9" s="15" t="str">
        <x:v>S21 - 10/7-10/20</x:v>
      </x:c>
      <x:c r="E9" s="15" t="str"/>
    </x:row>
    <x:row r="10">
      <x:c r="A10" s="15" t="str">
        <x:v>S22</x:v>
      </x:c>
      <x:c r="B10" s="20" t="n">
        <x:v>46316</x:v>
      </x:c>
      <x:c r="C10" s="20" t="n">
        <x:v>46329</x:v>
      </x:c>
      <x:c r="D10" s="15" t="str">
        <x:v>S22 - 10/21-11/3</x:v>
      </x:c>
      <x:c r="E10" s="15" t="str"/>
    </x:row>
    <x:row r="11">
      <x:c r="A11" s="15" t="str">
        <x:v>S23</x:v>
      </x:c>
      <x:c r="B11" s="20" t="n">
        <x:v>46330</x:v>
      </x:c>
      <x:c r="C11" s="20" t="n">
        <x:v>46343</x:v>
      </x:c>
      <x:c r="D11" s="15" t="str">
        <x:v>S23 - 11/4-11/17</x:v>
      </x:c>
      <x:c r="E11" s="15" t="str">
        <x:v>Initial production discussion window</x:v>
      </x:c>
    </x:row>
    <x:row r="12">
      <x:c r="A12" s="15" t="str">
        <x:v>S24</x:v>
      </x:c>
      <x:c r="B12" s="20" t="n">
        <x:v>46344</x:v>
      </x:c>
      <x:c r="C12" s="20" t="n">
        <x:v>46357</x:v>
      </x:c>
      <x:c r="D12" s="15" t="str">
        <x:v>S24 - 11/18-12/1</x:v>
      </x:c>
      <x:c r="E12" s="15" t="str"/>
    </x:row>
    <x:row r="13">
      <x:c r="A13" s="15" t="str">
        <x:v>S25</x:v>
      </x:c>
      <x:c r="B13" s="20" t="n">
        <x:v>46358</x:v>
      </x:c>
      <x:c r="C13" s="20" t="n">
        <x:v>46371</x:v>
      </x:c>
      <x:c r="D13" s="15" t="str">
        <x:v>S25 - 12/2-12/15</x:v>
      </x:c>
      <x:c r="E13" s="15" t="str">
        <x:v>Conservative production window mentioned</x:v>
      </x:c>
    </x:row>
    <x:row r="14">
      <x:c r="A14" s="15" t="str">
        <x:v>S26</x:v>
      </x:c>
      <x:c r="B14" s="20" t="n">
        <x:v>46372</x:v>
      </x:c>
      <x:c r="C14" s="20" t="n">
        <x:v>46385</x:v>
      </x:c>
      <x:c r="D14" s="15" t="str">
        <x:v>S26 - 12/16-12/29</x:v>
      </x:c>
      <x:c r="E14" s="15" t="str">
        <x:v>Holiday staffing risk</x:v>
      </x:c>
    </x:row>
    <x:row r="15">
      <x:c r="A15" s="15" t="str">
        <x:v>S27</x:v>
      </x:c>
      <x:c r="B15" s="20" t="n">
        <x:v>46386</x:v>
      </x:c>
      <x:c r="C15" s="20" t="n">
        <x:v>46399</x:v>
      </x:c>
      <x:c r="D15" s="15" t="str">
        <x:v>S27 - 12/30-1/12</x:v>
      </x:c>
      <x:c r="E15" s="15" t="str">
        <x:v>Recommended safer production window</x:v>
      </x:c>
    </x:row>
    <x:row r="16">
      <x:c r="A16" s="15" t="str">
        <x:v>S28</x:v>
      </x:c>
      <x:c r="B16" s="20" t="n">
        <x:v>46400</x:v>
      </x:c>
      <x:c r="C16" s="20" t="n">
        <x:v>46413</x:v>
      </x:c>
      <x:c r="D16" s="15" t="str">
        <x:v>S28 - 1/13-1/26</x:v>
      </x:c>
      <x:c r="E16" s="15" t="str"/>
    </x:row>
    <x:row r="17">
      <x:c r="A17" s="15" t="str">
        <x:v>S29</x:v>
      </x:c>
      <x:c r="B17" s="20" t="n">
        <x:v>46414</x:v>
      </x:c>
      <x:c r="C17" s="20" t="n">
        <x:v>46427</x:v>
      </x:c>
      <x:c r="D17" s="15" t="str">
        <x:v>S29 - 1/27-2/9</x:v>
      </x:c>
      <x:c r="E17" s="15" t="str"/>
    </x:row>
    <x:row r="18">
      <x:c r="A18" s="15" t="str">
        <x:v>S30</x:v>
      </x:c>
      <x:c r="B18" s="20" t="n">
        <x:v>46428</x:v>
      </x:c>
      <x:c r="C18" s="20" t="n">
        <x:v>46441</x:v>
      </x:c>
      <x:c r="D18" s="15" t="str">
        <x:v>S30 - 2/10-2/23</x:v>
      </x:c>
      <x:c r="E18" s="15" t="str">
        <x:v>Alternative NGDC modernize-first path</x:v>
      </x:c>
    </x:row>
    <x:row r="19">
      <x:c r="A19" s="15" t="str">
        <x:v>S31</x:v>
      </x:c>
      <x:c r="B19" s="20" t="n">
        <x:v>46442</x:v>
      </x:c>
      <x:c r="C19" s="20" t="n">
        <x:v>46455</x:v>
      </x:c>
      <x:c r="D19" s="15" t="str">
        <x:v>S31 - 2/24-3/9</x:v>
      </x:c>
      <x:c r="E19" s="15" t="str"/>
    </x:row>
    <x:row r="20">
      <x:c r="A20" s="15" t="str">
        <x:v>S32</x:v>
      </x:c>
      <x:c r="B20" s="20" t="n">
        <x:v>46456</x:v>
      </x:c>
      <x:c r="C20" s="20" t="n">
        <x:v>46469</x:v>
      </x:c>
      <x:c r="D20" s="15" t="str">
        <x:v>S32 - 3/10-3/23</x:v>
      </x:c>
      <x:c r="E20" s="15" t="str"/>
    </x:row>
    <x:row r="21">
      <x:c r="A21" s="15" t="str">
        <x:v>S33</x:v>
      </x:c>
      <x:c r="B21" s="20" t="n">
        <x:v>46470</x:v>
      </x:c>
      <x:c r="C21" s="20" t="n">
        <x:v>46483</x:v>
      </x:c>
      <x:c r="D21" s="15" t="str">
        <x:v>S33 - 3/24-4/6</x:v>
      </x:c>
      <x:c r="E21" s="15" t="str"/>
    </x:row>
    <x:row r="22">
      <x:c r="A22" s="15" t="str">
        <x:v>S34</x:v>
      </x:c>
      <x:c r="B22" s="20" t="n">
        <x:v>46484</x:v>
      </x:c>
      <x:c r="C22" s="20" t="n">
        <x:v>46497</x:v>
      </x:c>
      <x:c r="D22" s="15" t="str">
        <x:v>S34 - 4/7-4/20</x:v>
      </x:c>
      <x:c r="E22" s="15" t="str"/>
    </x:row>
    <x:row r="23">
      <x:c r="A23" s="15" t="str">
        <x:v>S35</x:v>
      </x:c>
      <x:c r="B23" s="20" t="n">
        <x:v>46498</x:v>
      </x:c>
      <x:c r="C23" s="20" t="n">
        <x:v>46511</x:v>
      </x:c>
      <x:c r="D23" s="15" t="str">
        <x:v>S35 - 4/21-5/4</x:v>
      </x:c>
      <x:c r="E23" s="15" t="str"/>
    </x:row>
    <x:row r="24">
      <x:c r="A24" s="15" t="str">
        <x:v>S36</x:v>
      </x:c>
      <x:c r="B24" s="20" t="n">
        <x:v>46512</x:v>
      </x:c>
      <x:c r="C24" s="20" t="n">
        <x:v>46525</x:v>
      </x:c>
      <x:c r="D24" s="15" t="str">
        <x:v>S36 - 5/5-5/18</x:v>
      </x:c>
      <x:c r="E24" s="15" t="str"/>
    </x:row>
    <x:row r="25">
      <x:c r="A25" s="15" t="str">
        <x:v>S37</x:v>
      </x:c>
      <x:c r="B25" s="20" t="n">
        <x:v>46526</x:v>
      </x:c>
      <x:c r="C25" s="20" t="n">
        <x:v>46539</x:v>
      </x:c>
      <x:c r="D25" s="15" t="str">
        <x:v>S37 - 5/19-6/1</x:v>
      </x:c>
      <x:c r="E25" s="15" t="str"/>
    </x:row>
    <x:row r="26">
      <x:c r="A26" s="15" t="str">
        <x:v>S38</x:v>
      </x:c>
      <x:c r="B26" s="20" t="n">
        <x:v>46540</x:v>
      </x:c>
      <x:c r="C26" s="20" t="n">
        <x:v>46553</x:v>
      </x:c>
      <x:c r="D26" s="15" t="str">
        <x:v>S38 - 6/2-6/15</x:v>
      </x:c>
      <x:c r="E26" s="15" t="str"/>
    </x:row>
    <x:row r="27">
      <x:c r="A27" s="15" t="str">
        <x:v>S39</x:v>
      </x:c>
      <x:c r="B27" s="20" t="n">
        <x:v>46554</x:v>
      </x:c>
      <x:c r="C27" s="20" t="n">
        <x:v>46567</x:v>
      </x:c>
      <x:c r="D27" s="15" t="str">
        <x:v>S39 - 6/16-6/29</x:v>
      </x:c>
      <x:c r="E27" s="15" t="str"/>
    </x:row>
    <x:row r="28">
      <x:c r="A28" s="15" t="str">
        <x:v>S40</x:v>
      </x:c>
      <x:c r="B28" s="20" t="n">
        <x:v>46568</x:v>
      </x:c>
      <x:c r="C28" s="20" t="n">
        <x:v>46581</x:v>
      </x:c>
      <x:c r="D28" s="15" t="str">
        <x:v>S40 - 6/30-7/13</x:v>
      </x:c>
      <x:c r="E28" s="15" t="str"/>
    </x:row>
    <x:row r="29">
      <x:c r="A29" s="15" t="str">
        <x:v>S41</x:v>
      </x:c>
      <x:c r="B29" s="20" t="n">
        <x:v>46582</x:v>
      </x:c>
      <x:c r="C29" s="20" t="n">
        <x:v>46595</x:v>
      </x:c>
      <x:c r="D29" s="15" t="str">
        <x:v>S41 - 7/14-7/27</x:v>
      </x:c>
      <x:c r="E29" s="15" t="str"/>
    </x:row>
    <x:row r="30">
      <x:c r="A30" s="15" t="str">
        <x:v>S42</x:v>
      </x:c>
      <x:c r="B30" s="20" t="n">
        <x:v>46596</x:v>
      </x:c>
      <x:c r="C30" s="20" t="n">
        <x:v>46609</x:v>
      </x:c>
      <x:c r="D30" s="15" t="str">
        <x:v>S42 - 7/28-8/10</x:v>
      </x:c>
      <x:c r="E30" s="15" t="str"/>
    </x:row>
    <x:row r="31">
      <x:c r="A31" s="15" t="str">
        <x:v>S43</x:v>
      </x:c>
      <x:c r="B31" s="20" t="n">
        <x:v>46610</x:v>
      </x:c>
      <x:c r="C31" s="20" t="n">
        <x:v>46623</x:v>
      </x:c>
      <x:c r="D31" s="15" t="str">
        <x:v>S43 - 8/11-8/24</x:v>
      </x:c>
      <x:c r="E31" s="15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8d19a2b8da94d9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28" hidden="0" customWidth="1"/>
    <x:col min="4" max="4" width="34" hidden="0" customWidth="1"/>
    <x:col min="5" max="5" width="14" hidden="0" customWidth="1"/>
    <x:col min="6" max="6" width="58" hidden="0" customWidth="1"/>
    <x:col min="7" max="7" width="20" hidden="0" customWidth="1"/>
  </x:cols>
  <x:sheetData>
    <x:row r="1" ht="30" customHeight="1">
      <x:c r="A1" s="38" t="str">
        <x:v>Executive Dates</x:v>
      </x:c>
      <x:c r="B1" s="38" t="str">
        <x:v>Executive Dates</x:v>
      </x:c>
      <x:c r="C1" s="38" t="str">
        <x:v>Executive Dates</x:v>
      </x:c>
      <x:c r="D1" s="38" t="str">
        <x:v>Executive Dates</x:v>
      </x:c>
      <x:c r="E1" s="38" t="str">
        <x:v>Executive Dates</x:v>
      </x:c>
      <x:c r="F1" s="38" t="str">
        <x:v>Executive Dates</x:v>
      </x:c>
      <x:c r="G1" s="38" t="str">
        <x:v>Executive Dates</x:v>
      </x:c>
    </x:row>
    <x:row r="2" ht="34" customHeight="1">
      <x:c r="A2" s="39" t="str">
        <x:v>Meeting-note extracted schedule windows. These are planning signals, not final committed dates unless leadership confirms them.</x:v>
      </x:c>
      <x:c r="B2" s="39" t="str">
        <x:v>Meeting-note extracted schedule windows. These are planning signals, not final committed dates unless leadership confirms them.</x:v>
      </x:c>
      <x:c r="C2" s="39" t="str">
        <x:v>Meeting-note extracted schedule windows. These are planning signals, not final committed dates unless leadership confirms them.</x:v>
      </x:c>
      <x:c r="D2" s="39" t="str">
        <x:v>Meeting-note extracted schedule windows. These are planning signals, not final committed dates unless leadership confirms them.</x:v>
      </x:c>
      <x:c r="E2" s="39" t="str">
        <x:v>Meeting-note extracted schedule windows. These are planning signals, not final committed dates unless leadership confirms them.</x:v>
      </x:c>
      <x:c r="F2" s="39" t="str">
        <x:v>Meeting-note extracted schedule windows. These are planning signals, not final committed dates unless leadership confirms them.</x:v>
      </x:c>
      <x:c r="G2" s="39" t="str">
        <x:v>Meeting-note extracted schedule windows. These are planning signals, not final committed dates unless leadership confirms them.</x:v>
      </x:c>
    </x:row>
    <x:row r="3">
      <x:c r="A3" s="40"/>
      <x:c r="B3" s="40"/>
      <x:c r="C3" s="40"/>
      <x:c r="D3" s="40"/>
      <x:c r="E3" s="40"/>
      <x:c r="F3" s="40"/>
      <x:c r="G3" s="40"/>
    </x:row>
    <x:row r="4" ht="34" customHeight="1">
      <x:c r="A4" s="44" t="str">
        <x:v>Item</x:v>
      </x:c>
      <x:c r="B4" s="44" t="str">
        <x:v>Date / Sprint</x:v>
      </x:c>
      <x:c r="C4" s="44" t="str">
        <x:v>Owner</x:v>
      </x:c>
      <x:c r="D4" s="44" t="str">
        <x:v>Dependency</x:v>
      </x:c>
      <x:c r="E4" s="44" t="str">
        <x:v>Confidence</x:v>
      </x:c>
      <x:c r="F4" s="44" t="str">
        <x:v>Source Quote</x:v>
      </x:c>
      <x:c r="G4" s="44" t="str">
        <x:v>Source Ref</x:v>
      </x:c>
    </x:row>
    <x:row r="5">
      <x:c r="A5" s="15" t="str">
        <x:v>Initial Production Target</x:v>
      </x:c>
      <x:c r="B5" s="15" t="str">
        <x:v>Sprint 23</x:v>
      </x:c>
      <x:c r="C5" s="15" t="str">
        <x:v>Leadership / CVIS Team</x:v>
      </x:c>
      <x:c r="D5" s="15" t="str">
        <x:v>Testing, NFRs, dependencies</x:v>
      </x:c>
      <x:c r="E5" s="15" t="str">
        <x:v>High</x:v>
      </x:c>
      <x:c r="F5" s="15" t="str">
        <x:v>Mike initially discussed production deployment around Sprint 23.</x:v>
      </x:c>
      <x:c r="G5" s="15" t="str">
        <x:v>turn1search3</x:v>
      </x:c>
    </x:row>
    <x:row r="6">
      <x:c r="A6" s="15" t="str">
        <x:v>Original PtB Approval Target</x:v>
      </x:c>
      <x:c r="B6" s="15" t="str">
        <x:v>2026-07-31</x:v>
      </x:c>
      <x:c r="C6" s="15" t="str">
        <x:v>Architecture / CVIS</x:v>
      </x:c>
      <x:c r="D6" s="15" t="str">
        <x:v>PtB review availability, target-state architecture, modernization plan</x:v>
      </x:c>
      <x:c r="E6" s="15" t="str">
        <x:v>High</x:v>
      </x:c>
      <x:c r="F6" s="15" t="str">
        <x:v>PtB was expected by the end of July and was missed; downstream timeline is being re-baselined from that slip.</x:v>
      </x:c>
      <x:c r="G6" s="15" t="str">
        <x:v>Larry update 2026-08-16</x:v>
      </x:c>
    </x:row>
    <x:row r="7">
      <x:c r="A7" s="15" t="str">
        <x:v>Revised PtB Approval Window</x:v>
      </x:c>
      <x:c r="B7" s="15" t="str">
        <x:v>2026-08-19 to early Sprint 18</x:v>
      </x:c>
      <x:c r="C7" s="15" t="str">
        <x:v>Architecture / CVIS</x:v>
      </x:c>
      <x:c r="D7" s="15" t="str">
        <x:v>Monday architecture changes, scheduling availability, PtB review slot</x:v>
      </x:c>
      <x:c r="E7" s="15" t="str">
        <x:v>Medium</x:v>
      </x:c>
      <x:c r="F7" s="15" t="str">
        <x:v>Architecture revisions may be needed after Monday; approval is expected between Wednesday and next week, possibly early next sprint depending on scheduling.</x:v>
      </x:c>
      <x:c r="G7" s="15" t="str">
        <x:v>Larry update 2026-08-16</x:v>
      </x:c>
    </x:row>
    <x:row r="8">
      <x:c r="A8" s="15" t="str">
        <x:v>Conservative Production Window</x:v>
      </x:c>
      <x:c r="B8" s="15" t="str">
        <x:v>Sprint 25 / Late December</x:v>
      </x:c>
      <x:c r="C8" s="15" t="str">
        <x:v>Leadership / CVIS Team</x:v>
      </x:c>
      <x:c r="D8" s="15" t="str">
        <x:v>Dependency resolution, platform hardening</x:v>
      </x:c>
      <x:c r="E8" s="15" t="str">
        <x:v>High</x:v>
      </x:c>
      <x:c r="F8" s="15" t="str">
        <x:v>Mike then discussed a later window around Sprint 25.</x:v>
      </x:c>
      <x:c r="G8" s="15" t="str">
        <x:v>turn1search3</x:v>
      </x:c>
    </x:row>
    <x:row r="9">
      <x:c r="A9" s="15" t="str">
        <x:v>Recommended Production Window</x:v>
      </x:c>
      <x:c r="B9" s="15" t="str">
        <x:v>Early January</x:v>
      </x:c>
      <x:c r="C9" s="15" t="str">
        <x:v>Leadership Decision</x:v>
      </x:c>
      <x:c r="D9" s="15" t="str">
        <x:v>Holiday staffing risk mitigation</x:v>
      </x:c>
      <x:c r="E9" s="15" t="str">
        <x:v>High</x:v>
      </x:c>
      <x:c r="F9" s="15" t="str">
        <x:v>The safer version of the plan appears to be a production target in early January.</x:v>
      </x:c>
      <x:c r="G9" s="15" t="str">
        <x:v>turn1search3</x:v>
      </x:c>
    </x:row>
    <x:row r="10">
      <x:c r="A10" s="15" t="str">
        <x:v>Alternative NGDC Modernize-First Path</x:v>
      </x:c>
      <x:c r="B10" s="15" t="str">
        <x:v>~February 2027</x:v>
      </x:c>
      <x:c r="C10" s="15" t="str">
        <x:v>Leadership / Governance</x:v>
      </x:c>
      <x:c r="D10" s="15" t="str">
        <x:v>Containerization, NFR work, governance approval</x:v>
      </x:c>
      <x:c r="E10" s="15" t="str">
        <x:v>Medium</x:v>
      </x:c>
      <x:c r="F10" s="15" t="str">
        <x:v>The NGDC move waits on the modernization timeline (~Feb 2027).</x:v>
      </x:c>
      <x:c r="G10" s="15" t="str">
        <x:v>turn1search45; turn1search43</x:v>
      </x:c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15"/>
      <x:c r="B13" s="15"/>
      <x:c r="C13" s="15"/>
      <x:c r="D13" s="15"/>
      <x:c r="E13" s="15"/>
      <x:c r="F13" s="15"/>
      <x:c r="G13" s="15"/>
    </x:row>
    <x:row r="14">
      <x:c r="A14" s="15"/>
      <x:c r="B14" s="15"/>
      <x:c r="C14" s="15"/>
      <x:c r="D14" s="15"/>
      <x:c r="E14" s="15"/>
      <x:c r="F14" s="15"/>
      <x:c r="G14" s="15"/>
    </x:row>
    <x:row r="15">
      <x:c r="A15" s="15"/>
      <x:c r="B15" s="15"/>
      <x:c r="C15" s="15"/>
      <x:c r="D15" s="15"/>
      <x:c r="E15" s="15"/>
      <x:c r="F15" s="15"/>
      <x:c r="G15" s="15"/>
    </x:row>
    <x:row r="16">
      <x:c r="A16" s="15"/>
      <x:c r="B16" s="15"/>
      <x:c r="C16" s="15"/>
      <x:c r="D16" s="15"/>
      <x:c r="E16" s="15"/>
      <x:c r="F16" s="15"/>
      <x:c r="G16" s="15"/>
    </x:row>
    <x:row r="17">
      <x:c r="A17" s="15"/>
      <x:c r="B17" s="15"/>
      <x:c r="C17" s="15"/>
      <x:c r="D17" s="15"/>
      <x:c r="E17" s="15"/>
      <x:c r="F17" s="15"/>
      <x:c r="G17" s="15"/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</x:sheetData>
  <x:mergeCells>
    <x:mergeCell ref="A1:G1"/>
    <x:mergeCell ref="A2:G2"/>
  </x:mergeCells>
  <x:conditionalFormatting sqref="E5:E24">
    <x:cfRule type="containsText" dxfId="23" priority="1" operator="containsText" text="High"/>
    <x:cfRule type="containsText" dxfId="24" priority="2" operator="containsText" text="Medium"/>
    <x:cfRule type="containsText" dxfId="25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42d1e4dca064f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36" hidden="0" customWidth="1"/>
    <x:col min="5" max="5" width="14" hidden="0" customWidth="1"/>
    <x:col min="6" max="6" width="58" hidden="0" customWidth="1"/>
    <x:col min="7" max="7" width="20" hidden="0" customWidth="1"/>
  </x:cols>
  <x:sheetData>
    <x:row r="1" ht="30" customHeight="1">
      <x:c r="A1" s="38" t="str">
        <x:v>NGDC Environments</x:v>
      </x:c>
      <x:c r="B1" s="38" t="str">
        <x:v>NGDC Environments</x:v>
      </x:c>
      <x:c r="C1" s="38" t="str">
        <x:v>NGDC Environments</x:v>
      </x:c>
      <x:c r="D1" s="38" t="str">
        <x:v>NGDC Environments</x:v>
      </x:c>
      <x:c r="E1" s="38" t="str">
        <x:v>NGDC Environments</x:v>
      </x:c>
      <x:c r="F1" s="38" t="str">
        <x:v>NGDC Environments</x:v>
      </x:c>
      <x:c r="G1" s="38" t="str">
        <x:v>NGDC Environments</x:v>
      </x:c>
    </x:row>
    <x:row r="2" ht="34" customHeight="1">
      <x:c r="A2" s="39" t="str">
        <x:v>Environment expectations extracted from meeting notes. Use this to separate non-prod proving, promotion readiness, and production movement.</x:v>
      </x:c>
      <x:c r="B2" s="39" t="str">
        <x:v>Environment expectations extracted from meeting notes. Use this to separate non-prod proving, promotion readiness, and production movement.</x:v>
      </x:c>
      <x:c r="C2" s="39" t="str">
        <x:v>Environment expectations extracted from meeting notes. Use this to separate non-prod proving, promotion readiness, and production movement.</x:v>
      </x:c>
      <x:c r="D2" s="39" t="str">
        <x:v>Environment expectations extracted from meeting notes. Use this to separate non-prod proving, promotion readiness, and production movement.</x:v>
      </x:c>
      <x:c r="E2" s="39" t="str">
        <x:v>Environment expectations extracted from meeting notes. Use this to separate non-prod proving, promotion readiness, and production movement.</x:v>
      </x:c>
      <x:c r="F2" s="39" t="str">
        <x:v>Environment expectations extracted from meeting notes. Use this to separate non-prod proving, promotion readiness, and production movement.</x:v>
      </x:c>
      <x:c r="G2" s="39" t="str">
        <x:v>Environment expectations extracted from meeting notes. Use this to separate non-prod proving, promotion readiness, and production movement.</x:v>
      </x:c>
    </x:row>
    <x:row r="3">
      <x:c r="A3" s="40"/>
      <x:c r="B3" s="40"/>
      <x:c r="C3" s="40"/>
      <x:c r="D3" s="40"/>
      <x:c r="E3" s="40"/>
      <x:c r="F3" s="40"/>
      <x:c r="G3" s="40"/>
    </x:row>
    <x:row r="4" ht="34" customHeight="1">
      <x:c r="A4" s="44" t="str">
        <x:v>Item</x:v>
      </x:c>
      <x:c r="B4" s="44" t="str">
        <x:v>Date / Sprint</x:v>
      </x:c>
      <x:c r="C4" s="44" t="str">
        <x:v>Owner</x:v>
      </x:c>
      <x:c r="D4" s="44" t="str">
        <x:v>Dependency</x:v>
      </x:c>
      <x:c r="E4" s="44" t="str">
        <x:v>Confidence</x:v>
      </x:c>
      <x:c r="F4" s="44" t="str">
        <x:v>Source Quote</x:v>
      </x:c>
      <x:c r="G4" s="44" t="str">
        <x:v>Source Ref</x:v>
      </x:c>
    </x:row>
    <x:row r="5">
      <x:c r="A5" s="15" t="str">
        <x:v>Unity into NonProd</x:v>
      </x:c>
      <x:c r="B5" s="15" t="str">
        <x:v>Sprint 18</x:v>
      </x:c>
      <x:c r="C5" s="15" t="str">
        <x:v>Platform Team / CVIS</x:v>
      </x:c>
      <x:c r="D5" s="15" t="str">
        <x:v>OCP, containers, environment readiness</x:v>
      </x:c>
      <x:c r="E5" s="15" t="str">
        <x:v>High</x:v>
      </x:c>
      <x:c r="F5" s="15" t="str">
        <x:v>Once Unity reaches non-prod, the team can start proving the modernization model.</x:v>
      </x:c>
      <x:c r="G5" s="15" t="str">
        <x:v>turn1search3</x:v>
      </x:c>
    </x:row>
    <x:row r="6">
      <x:c r="A6" s="15" t="str">
        <x:v>NonProd Validation</x:v>
      </x:c>
      <x:c r="B6" s="15" t="str">
        <x:v>Sprints 21-22</x:v>
      </x:c>
      <x:c r="C6" s="15" t="str">
        <x:v>CVIS Team</x:v>
      </x:c>
      <x:c r="D6" s="15" t="str">
        <x:v>Functional, integration, workflow testing</x:v>
      </x:c>
      <x:c r="E6" s="15" t="str">
        <x:v>High</x:v>
      </x:c>
      <x:c r="F6" s="15" t="str">
        <x:v>Validated modernization path through non-prod.</x:v>
      </x:c>
      <x:c r="G6" s="15" t="str">
        <x:v>turn1search3</x:v>
      </x:c>
    </x:row>
    <x:row r="7">
      <x:c r="A7" s="15" t="str">
        <x:v>Promotion Readiness</x:v>
      </x:c>
      <x:c r="B7" s="15" t="str">
        <x:v>Sprints 21-22</x:v>
      </x:c>
      <x:c r="C7" s="15" t="str">
        <x:v>CVIS Team</x:v>
      </x:c>
      <x:c r="D7" s="15" t="str">
        <x:v>Bug fixes, environment consistency</x:v>
      </x:c>
      <x:c r="E7" s="15" t="str">
        <x:v>High</x:v>
      </x:c>
      <x:c r="F7" s="15" t="str">
        <x:v>Promotion readiness.</x:v>
      </x:c>
      <x:c r="G7" s="15" t="str">
        <x:v>turn1search3</x:v>
      </x:c>
    </x:row>
    <x:row r="8">
      <x:c r="A8" s="15" t="str">
        <x:v>Expected Promotion Flow</x:v>
      </x:c>
      <x:c r="B8" s="15" t="str">
        <x:v>NonProd -&gt; PreProd -&gt; Prod</x:v>
      </x:c>
      <x:c r="C8" s="15" t="str">
        <x:v>CVIS / Platform</x:v>
      </x:c>
      <x:c r="D8" s="15" t="str">
        <x:v>Environment consistency</x:v>
      </x:c>
      <x:c r="E8" s="15" t="str">
        <x:v>Medium</x:v>
      </x:c>
      <x:c r="F8" s="15" t="str">
        <x:v>Dev -&gt; NonProd -&gt; PreProd -&gt; Production.</x:v>
      </x:c>
      <x:c r="G8" s="15" t="str">
        <x:v>turn1search3</x:v>
      </x:c>
    </x:row>
    <x:row r="9">
      <x:c r="A9" s="15"/>
      <x:c r="B9" s="15"/>
      <x:c r="C9" s="15"/>
      <x:c r="D9" s="15"/>
      <x:c r="E9" s="15"/>
      <x:c r="F9" s="15"/>
      <x:c r="G9" s="15"/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15"/>
      <x:c r="B13" s="15"/>
      <x:c r="C13" s="15"/>
      <x:c r="D13" s="15"/>
      <x:c r="E13" s="15"/>
      <x:c r="F13" s="15"/>
      <x:c r="G13" s="15"/>
    </x:row>
    <x:row r="14">
      <x:c r="A14" s="15"/>
      <x:c r="B14" s="15"/>
      <x:c r="C14" s="15"/>
      <x:c r="D14" s="15"/>
      <x:c r="E14" s="15"/>
      <x:c r="F14" s="15"/>
      <x:c r="G14" s="15"/>
    </x:row>
    <x:row r="15">
      <x:c r="A15" s="15"/>
      <x:c r="B15" s="15"/>
      <x:c r="C15" s="15"/>
      <x:c r="D15" s="15"/>
      <x:c r="E15" s="15"/>
      <x:c r="F15" s="15"/>
      <x:c r="G15" s="15"/>
    </x:row>
    <x:row r="16">
      <x:c r="A16" s="15"/>
      <x:c r="B16" s="15"/>
      <x:c r="C16" s="15"/>
      <x:c r="D16" s="15"/>
      <x:c r="E16" s="15"/>
      <x:c r="F16" s="15"/>
      <x:c r="G16" s="15"/>
    </x:row>
    <x:row r="17">
      <x:c r="A17" s="15"/>
      <x:c r="B17" s="15"/>
      <x:c r="C17" s="15"/>
      <x:c r="D17" s="15"/>
      <x:c r="E17" s="15"/>
      <x:c r="F17" s="15"/>
      <x:c r="G17" s="15"/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</x:sheetData>
  <x:mergeCells>
    <x:mergeCell ref="A1:G1"/>
    <x:mergeCell ref="A2:G2"/>
  </x:mergeCells>
  <x:conditionalFormatting sqref="E5:E24">
    <x:cfRule type="containsText" dxfId="26" priority="1" operator="containsText" text="High"/>
    <x:cfRule type="containsText" dxfId="27" priority="2" operator="containsText" text="Medium"/>
    <x:cfRule type="containsText" dxfId="28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ce9842db9e14f0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  <x:col min="3" max="3" width="14" hidden="0" customWidth="1"/>
    <x:col min="4" max="4" width="20" hidden="0" customWidth="1"/>
  </x:cols>
  <x:sheetData>
    <x:row r="1" ht="30" customHeight="1">
      <x:c r="A1" s="38" t="str">
        <x:v>Sprint Deliverables</x:v>
      </x:c>
      <x:c r="B1" s="38" t="str">
        <x:v>Sprint Deliverables</x:v>
      </x:c>
      <x:c r="C1" s="38" t="str">
        <x:v>Sprint Deliverables</x:v>
      </x:c>
      <x:c r="D1" s="38" t="str">
        <x:v>Sprint Deliverables</x:v>
      </x:c>
    </x:row>
    <x:row r="2" ht="34" customHeight="1">
      <x:c r="A2" s="39" t="str">
        <x:v>Sprint-facing deliverables from the Copilot extraction. Use these as the bridge between executive dates and the detailed action plan.</x:v>
      </x:c>
      <x:c r="B2" s="39" t="str">
        <x:v>Sprint-facing deliverables from the Copilot extraction. Use these as the bridge between executive dates and the detailed action plan.</x:v>
      </x:c>
      <x:c r="C2" s="39" t="str">
        <x:v>Sprint-facing deliverables from the Copilot extraction. Use these as the bridge between executive dates and the detailed action plan.</x:v>
      </x:c>
      <x:c r="D2" s="39" t="str">
        <x:v>Sprint-facing deliverables from the Copilot extraction. Use these as the bridge between executive dates and the detailed action plan.</x:v>
      </x:c>
    </x:row>
    <x:row r="3">
      <x:c r="A3" s="40"/>
      <x:c r="B3" s="40"/>
      <x:c r="C3" s="40"/>
      <x:c r="D3" s="40"/>
    </x:row>
    <x:row r="4" ht="34" customHeight="1">
      <x:c r="A4" s="44" t="str">
        <x:v>Sprint</x:v>
      </x:c>
      <x:c r="B4" s="44" t="str">
        <x:v>Deliverable</x:v>
      </x:c>
      <x:c r="C4" s="44" t="str">
        <x:v>Confidence</x:v>
      </x:c>
      <x:c r="D4" s="44" t="str">
        <x:v>Source Ref</x:v>
      </x:c>
    </x:row>
    <x:row r="5">
      <x:c r="A5" s="15" t="str">
        <x:v>Sprint 17</x:v>
      </x:c>
      <x:c r="B5" s="15" t="str">
        <x:v>PtB recovery, architecture updates, modernization direction, application inventory, owners, dependency mapping</x:v>
      </x:c>
      <x:c r="C5" s="15" t="str">
        <x:v>High</x:v>
      </x:c>
      <x:c r="D5" s="15" t="str">
        <x:v>turn1search3</x:v>
      </x:c>
    </x:row>
    <x:row r="6">
      <x:c r="A6" s="15" t="str">
        <x:v>Sprint 17</x:v>
      </x:c>
      <x:c r="B6" s="15" t="str">
        <x:v>Leadership-ready roadmap showing dates, owners, blockers, risks</x:v>
      </x:c>
      <x:c r="C6" s="15" t="str">
        <x:v>High</x:v>
      </x:c>
      <x:c r="D6" s="15" t="str">
        <x:v>turn1search3</x:v>
      </x:c>
    </x:row>
    <x:row r="7">
      <x:c r="A7" s="15" t="str">
        <x:v>Sprint 18</x:v>
      </x:c>
      <x:c r="B7" s="15" t="str">
        <x:v>OCP/OpenShift readiness, container onboarding, storage requests, Kafka planning</x:v>
      </x:c>
      <x:c r="C7" s="15" t="str">
        <x:v>High</x:v>
      </x:c>
      <x:c r="D7" s="15" t="str">
        <x:v>turn1search3</x:v>
      </x:c>
    </x:row>
    <x:row r="8">
      <x:c r="A8" s="15" t="str">
        <x:v>Sprint 18</x:v>
      </x:c>
      <x:c r="B8" s="15" t="str">
        <x:v>Unity modernization platform operating in container environment</x:v>
      </x:c>
      <x:c r="C8" s="15" t="str">
        <x:v>High</x:v>
      </x:c>
      <x:c r="D8" s="15" t="str">
        <x:v>turn1search3</x:v>
      </x:c>
    </x:row>
    <x:row r="9">
      <x:c r="A9" s="15" t="str">
        <x:v>Sprints 18-21</x:v>
      </x:c>
      <x:c r="B9" s="15" t="str">
        <x:v>Workflow engine, orchestration, rules engine, shared services, messaging layer</x:v>
      </x:c>
      <x:c r="C9" s="15" t="str">
        <x:v>High</x:v>
      </x:c>
      <x:c r="D9" s="15" t="str">
        <x:v>turn1search3</x:v>
      </x:c>
    </x:row>
    <x:row r="10">
      <x:c r="A10" s="15" t="str">
        <x:v>Sprints 19-20</x:v>
      </x:c>
      <x:c r="B10" s="15" t="str">
        <x:v>First modernization/refactor wave</x:v>
      </x:c>
      <x:c r="C10" s="15" t="str">
        <x:v>High</x:v>
      </x:c>
      <x:c r="D10" s="15" t="str">
        <x:v>turn1search3</x:v>
      </x:c>
    </x:row>
    <x:row r="11">
      <x:c r="A11" s="15" t="str">
        <x:v>Sprints 19-23</x:v>
      </x:c>
      <x:c r="B11" s="15" t="str">
        <x:v>NFR implementation and compliance execution</x:v>
      </x:c>
      <x:c r="C11" s="15" t="str">
        <x:v>High</x:v>
      </x:c>
      <x:c r="D11" s="15" t="str">
        <x:v>turn1search3</x:v>
      </x:c>
    </x:row>
    <x:row r="12">
      <x:c r="A12" s="15" t="str">
        <x:v>Sprints 21-22</x:v>
      </x:c>
      <x:c r="B12" s="15" t="str">
        <x:v>Testing, validation, defect correction</x:v>
      </x:c>
      <x:c r="C12" s="15" t="str">
        <x:v>High</x:v>
      </x:c>
      <x:c r="D12" s="15" t="str">
        <x:v>turn1search3</x:v>
      </x:c>
    </x:row>
    <x:row r="13">
      <x:c r="A13" s="15"/>
      <x:c r="B13" s="15"/>
      <x:c r="C13" s="15"/>
      <x:c r="D13" s="15"/>
    </x:row>
    <x:row r="14">
      <x:c r="A14" s="15"/>
      <x:c r="B14" s="15"/>
      <x:c r="C14" s="15"/>
      <x:c r="D14" s="15"/>
    </x:row>
    <x:row r="15">
      <x:c r="A15" s="15"/>
      <x:c r="B15" s="15"/>
      <x:c r="C15" s="15"/>
      <x:c r="D15" s="15"/>
    </x:row>
    <x:row r="16">
      <x:c r="A16" s="15"/>
      <x:c r="B16" s="15"/>
      <x:c r="C16" s="15"/>
      <x:c r="D16" s="15"/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  <x:row r="21">
      <x:c r="A21" s="15"/>
      <x:c r="B21" s="15"/>
      <x:c r="C21" s="15"/>
      <x:c r="D21" s="15"/>
    </x:row>
    <x:row r="22">
      <x:c r="A22" s="15"/>
      <x:c r="B22" s="15"/>
      <x:c r="C22" s="15"/>
      <x:c r="D22" s="15"/>
    </x:row>
    <x:row r="23">
      <x:c r="A23" s="15"/>
      <x:c r="B23" s="15"/>
      <x:c r="C23" s="15"/>
      <x:c r="D23" s="15"/>
    </x:row>
    <x:row r="24">
      <x:c r="A24" s="15"/>
      <x:c r="B24" s="15"/>
      <x:c r="C24" s="15"/>
      <x:c r="D24" s="15"/>
    </x:row>
  </x:sheetData>
  <x:mergeCells>
    <x:mergeCell ref="A1:D1"/>
    <x:mergeCell ref="A2:D2"/>
  </x:mergeCells>
  <x:conditionalFormatting sqref="C5:C24">
    <x:cfRule type="containsText" dxfId="29" priority="1" operator="containsText" text="High"/>
    <x:cfRule type="containsText" dxfId="30" priority="2" operator="containsText" text="Medium"/>
    <x:cfRule type="containsText" dxfId="31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590a88c1fd442b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6" hidden="0" customWidth="1"/>
    <x:col min="3" max="3" width="14" hidden="0" customWidth="1"/>
    <x:col min="4" max="4" width="62" hidden="0" customWidth="1"/>
    <x:col min="5" max="5" width="24" hidden="0" customWidth="1"/>
  </x:cols>
  <x:sheetData>
    <x:row r="1" ht="30" customHeight="1">
      <x:c r="A1" s="38" t="str">
        <x:v>Schedule Dependencies</x:v>
      </x:c>
      <x:c r="B1" s="38" t="str">
        <x:v>Schedule Dependencies</x:v>
      </x:c>
      <x:c r="C1" s="38" t="str">
        <x:v>Schedule Dependencies</x:v>
      </x:c>
      <x:c r="D1" s="38" t="str">
        <x:v>Schedule Dependencies</x:v>
      </x:c>
      <x:c r="E1" s="38" t="str">
        <x:v>Schedule Dependencies</x:v>
      </x:c>
    </x:row>
    <x:row r="2" ht="34" customHeight="1">
      <x:c r="A2" s="39" t="str">
        <x:v>Dependencies extracted from meeting notes. These complement the live Dependency Register, where owners, tickets, and escalation dates are tracked.</x:v>
      </x:c>
      <x:c r="B2" s="39" t="str">
        <x:v>Dependencies extracted from meeting notes. These complement the live Dependency Register, where owners, tickets, and escalation dates are tracked.</x:v>
      </x:c>
      <x:c r="C2" s="39" t="str">
        <x:v>Dependencies extracted from meeting notes. These complement the live Dependency Register, where owners, tickets, and escalation dates are tracked.</x:v>
      </x:c>
      <x:c r="D2" s="39" t="str">
        <x:v>Dependencies extracted from meeting notes. These complement the live Dependency Register, where owners, tickets, and escalation dates are tracked.</x:v>
      </x:c>
      <x:c r="E2" s="39" t="str">
        <x:v>Dependencies extracted from meeting notes. These complement the live Dependency Register, where owners, tickets, and escalation dates are tracked.</x:v>
      </x:c>
    </x:row>
    <x:row r="3">
      <x:c r="A3" s="40"/>
      <x:c r="B3" s="40"/>
      <x:c r="C3" s="40"/>
      <x:c r="D3" s="40"/>
      <x:c r="E3" s="40"/>
    </x:row>
    <x:row r="4" ht="34" customHeight="1">
      <x:c r="A4" s="44" t="str">
        <x:v>Dependency</x:v>
      </x:c>
      <x:c r="B4" s="44" t="str">
        <x:v>Mentioned For</x:v>
      </x:c>
      <x:c r="C4" s="44" t="str">
        <x:v>Confidence</x:v>
      </x:c>
      <x:c r="D4" s="44" t="str">
        <x:v>Source Quote / Note</x:v>
      </x:c>
      <x:c r="E4" s="44" t="str">
        <x:v>Source Ref</x:v>
      </x:c>
    </x:row>
    <x:row r="5">
      <x:c r="A5" s="15" t="str">
        <x:v>Architecture Review</x:v>
      </x:c>
      <x:c r="B5" s="15" t="str">
        <x:v>PtB recovery and modernization approval</x:v>
      </x:c>
      <x:c r="C5" s="15" t="str">
        <x:v>High</x:v>
      </x:c>
      <x:c r="D5" s="15" t="str">
        <x:v>Architecture review listed as external dependency.</x:v>
      </x:c>
      <x:c r="E5" s="15" t="str">
        <x:v>turn1search3</x:v>
      </x:c>
    </x:row>
    <x:row r="6">
      <x:c r="A6" s="15" t="str">
        <x:v>NFR Review</x:v>
      </x:c>
      <x:c r="B6" s="15" t="str">
        <x:v>Modernization approval path</x:v>
      </x:c>
      <x:c r="C6" s="15" t="str">
        <x:v>High</x:v>
      </x:c>
      <x:c r="D6" s="15" t="str">
        <x:v>NFR review listed as external dependency.</x:v>
      </x:c>
      <x:c r="E6" s="15" t="str">
        <x:v>turn1search3</x:v>
      </x:c>
    </x:row>
    <x:row r="7">
      <x:c r="A7" s="15" t="str">
        <x:v>OpenShift / OCP</x:v>
      </x:c>
      <x:c r="B7" s="15" t="str">
        <x:v>Platform enablement</x:v>
      </x:c>
      <x:c r="C7" s="15" t="str">
        <x:v>High</x:v>
      </x:c>
      <x:c r="D7" s="15" t="str">
        <x:v>OCP / OpenShift build-out.</x:v>
      </x:c>
      <x:c r="E7" s="15" t="str">
        <x:v>turn1search3</x:v>
      </x:c>
    </x:row>
    <x:row r="8">
      <x:c r="A8" s="15" t="str">
        <x:v>Kubernetes</x:v>
      </x:c>
      <x:c r="B8" s="15" t="str">
        <x:v>Container platform readiness</x:v>
      </x:c>
      <x:c r="C8" s="15" t="str">
        <x:v>High</x:v>
      </x:c>
      <x:c r="D8" s="15" t="str">
        <x:v>Kubernetes onboarding.</x:v>
      </x:c>
      <x:c r="E8" s="15" t="str">
        <x:v>turn1search3</x:v>
      </x:c>
    </x:row>
    <x:row r="9">
      <x:c r="A9" s="15" t="str">
        <x:v>Kafka</x:v>
      </x:c>
      <x:c r="B9" s="15" t="str">
        <x:v>Messaging architecture onboarding</x:v>
      </x:c>
      <x:c r="C9" s="15" t="str">
        <x:v>High</x:v>
      </x:c>
      <x:c r="D9" s="15" t="str">
        <x:v>Kafka onboarding planning or initiation.</x:v>
      </x:c>
      <x:c r="E9" s="15" t="str">
        <x:v>turn1search3</x:v>
      </x:c>
    </x:row>
    <x:row r="10">
      <x:c r="A10" s="15" t="str">
        <x:v>Storage Team</x:v>
      </x:c>
      <x:c r="B10" s="15" t="str">
        <x:v>Persistent storage</x:v>
      </x:c>
      <x:c r="C10" s="15" t="str">
        <x:v>High</x:v>
      </x:c>
      <x:c r="D10" s="15" t="str">
        <x:v>Persistent storage request.</x:v>
      </x:c>
      <x:c r="E10" s="15" t="str">
        <x:v>turn1search3</x:v>
      </x:c>
    </x:row>
    <x:row r="11">
      <x:c r="A11" s="15" t="str">
        <x:v>Apogee / Apigee</x:v>
      </x:c>
      <x:c r="B11" s="15" t="str">
        <x:v>Platform onboarding</x:v>
      </x:c>
      <x:c r="C11" s="15" t="str">
        <x:v>High</x:v>
      </x:c>
      <x:c r="D11" s="15" t="str">
        <x:v>Apogee or related platform onboarding, if required.</x:v>
      </x:c>
      <x:c r="E11" s="15" t="str">
        <x:v>turn1search3</x:v>
      </x:c>
    </x:row>
    <x:row r="12">
      <x:c r="A12" s="15" t="str">
        <x:v>Container Onboarding</x:v>
      </x:c>
      <x:c r="B12" s="15" t="str">
        <x:v>Modernization execution</x:v>
      </x:c>
      <x:c r="C12" s="15" t="str">
        <x:v>High</x:v>
      </x:c>
      <x:c r="D12" s="15" t="str">
        <x:v>Container infrastructure setup and container approvals.</x:v>
      </x:c>
      <x:c r="E12" s="15" t="str">
        <x:v>turn1search3</x:v>
      </x:c>
    </x:row>
    <x:row r="13">
      <x:c r="A13" s="15" t="str">
        <x:v>Environment Access</x:v>
      </x:c>
      <x:c r="B13" s="15" t="str">
        <x:v>Build-out activities</x:v>
      </x:c>
      <x:c r="C13" s="15" t="str">
        <x:v>High</x:v>
      </x:c>
      <x:c r="D13" s="15" t="str">
        <x:v>Environment access.</x:v>
      </x:c>
      <x:c r="E13" s="15" t="str">
        <x:v>turn1search3</x:v>
      </x:c>
    </x:row>
    <x:row r="14">
      <x:c r="A14" s="15" t="str">
        <x:v>Vault Migration Team</x:v>
      </x:c>
      <x:c r="B14" s="15" t="str">
        <x:v>Scope determination for utilities</x:v>
      </x:c>
      <x:c r="C14" s="15" t="str">
        <x:v>High</x:v>
      </x:c>
      <x:c r="D14" s="15" t="str">
        <x:v>Vault / CyberArk timeline track is a major planning variable.</x:v>
      </x:c>
      <x:c r="E14" s="15" t="str">
        <x:v>turn1search3</x:v>
      </x:c>
    </x:row>
    <x:row r="15">
      <x:c r="A15" s="15" t="str">
        <x:v>CyberArk / EPV Timeline</x:v>
      </x:c>
      <x:c r="B15" s="15" t="str">
        <x:v>Critical planning variable</x:v>
      </x:c>
      <x:c r="C15" s="15" t="str">
        <x:v>High</x:v>
      </x:c>
      <x:c r="D15" s="15" t="str">
        <x:v>If EPV / CyberArk / ARK moves sooner, those internal utilities may need a faster path.</x:v>
      </x:c>
      <x:c r="E15" s="15" t="str">
        <x:v>turn1search3</x:v>
      </x:c>
    </x:row>
    <x:row r="16">
      <x:c r="A16" s="15" t="str">
        <x:v>Shared Database Dependencies</x:v>
      </x:c>
      <x:c r="B16" s="15" t="str">
        <x:v>PtB finding requiring remediation</x:v>
      </x:c>
      <x:c r="C16" s="15" t="str">
        <x:v>High</x:v>
      </x:c>
      <x:c r="D16" s="15" t="str">
        <x:v>Downstream shared DB dependency and upstream shared DB dependency were flagged.</x:v>
      </x:c>
      <x:c r="E16" s="15" t="str">
        <x:v>turn1search42; turn1search45</x:v>
      </x:c>
    </x:row>
    <x:row r="17">
      <x:c r="A17" s="15" t="str">
        <x:v>ServiceNow</x:v>
      </x:c>
      <x:c r="B17" s="15" t="str">
        <x:v>Not explicitly found in reviewed notes</x:v>
      </x:c>
      <x:c r="C17" s="15" t="str">
        <x:v>Low</x:v>
      </x:c>
      <x:c r="D17" s="15" t="str">
        <x:v>No explicit ServiceNow dependency found in retrieved planning notes.</x:v>
      </x:c>
      <x:c r="E17" s="15" t="str">
        <x:v>turn1search3</x:v>
      </x:c>
    </x:row>
    <x:row r="18">
      <x:c r="A18" s="15" t="str">
        <x:v>SSO</x:v>
      </x:c>
      <x:c r="B18" s="15" t="str">
        <x:v>Not explicitly found in reviewed notes</x:v>
      </x:c>
      <x:c r="C18" s="15" t="str">
        <x:v>Low</x:v>
      </x:c>
      <x:c r="D18" s="15" t="str">
        <x:v>No explicit SSO dependency found in retrieved planning notes.</x:v>
      </x:c>
      <x:c r="E18" s="15" t="str">
        <x:v>turn1search3</x:v>
      </x:c>
    </x:row>
    <x:row r="19">
      <x:c r="A19" s="15" t="str">
        <x:v>Network Team</x:v>
      </x:c>
      <x:c r="B19" s="15" t="str">
        <x:v>Not explicitly found in reviewed notes</x:v>
      </x:c>
      <x:c r="C19" s="15" t="str">
        <x:v>Low</x:v>
      </x:c>
      <x:c r="D19" s="15" t="str">
        <x:v>No explicit network team dependency found in retrieved planning notes.</x:v>
      </x:c>
      <x:c r="E19" s="15" t="str">
        <x:v>turn1search3</x:v>
      </x:c>
    </x:row>
    <x:row r="20">
      <x:c r="A20" s="15"/>
      <x:c r="B20" s="15"/>
      <x:c r="C20" s="15"/>
      <x:c r="D20" s="15"/>
      <x:c r="E20" s="15"/>
    </x:row>
    <x:row r="21">
      <x:c r="A21" s="15"/>
      <x:c r="B21" s="15"/>
      <x:c r="C21" s="15"/>
      <x:c r="D21" s="15"/>
      <x:c r="E21" s="15"/>
    </x:row>
    <x:row r="22">
      <x:c r="A22" s="15"/>
      <x:c r="B22" s="15"/>
      <x:c r="C22" s="15"/>
      <x:c r="D22" s="15"/>
      <x:c r="E22" s="15"/>
    </x:row>
    <x:row r="23">
      <x:c r="A23" s="15"/>
      <x:c r="B23" s="15"/>
      <x:c r="C23" s="15"/>
      <x:c r="D23" s="15"/>
      <x:c r="E23" s="15"/>
    </x:row>
    <x:row r="24">
      <x:c r="A24" s="15"/>
      <x:c r="B24" s="15"/>
      <x:c r="C24" s="15"/>
      <x:c r="D24" s="15"/>
      <x:c r="E24" s="15"/>
    </x:row>
  </x:sheetData>
  <x:mergeCells>
    <x:mergeCell ref="A1:E1"/>
    <x:mergeCell ref="A2:E2"/>
  </x:mergeCells>
  <x:conditionalFormatting sqref="C5:C24">
    <x:cfRule type="containsText" dxfId="32" priority="1" operator="containsText" text="High"/>
    <x:cfRule type="containsText" dxfId="33" priority="2" operator="containsText" text="Medium"/>
    <x:cfRule type="containsText" dxfId="34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a25eb341c8147fb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8" hidden="0" customWidth="1"/>
    <x:col min="4" max="4" width="18" hidden="0" customWidth="1"/>
    <x:col min="5" max="5" width="28" hidden="0" customWidth="1"/>
    <x:col min="6" max="6" width="14" hidden="0" customWidth="1"/>
    <x:col min="7" max="7" width="18" hidden="0" customWidth="1"/>
    <x:col min="8" max="8" width="16" hidden="0" customWidth="1"/>
    <x:col min="9" max="9" width="10" hidden="0" customWidth="1"/>
    <x:col min="10" max="10" width="12" hidden="0" customWidth="1"/>
    <x:col min="11" max="11" width="12" hidden="0" customWidth="1"/>
    <x:col min="12" max="12" width="36" hidden="0" customWidth="1"/>
  </x:cols>
  <x:sheetData>
    <x:row r="1" ht="30" customHeight="1">
      <x:c r="A1" s="38" t="str">
        <x:v>Platform Onboarding</x:v>
      </x:c>
      <x:c r="B1" s="38" t="str">
        <x:v>Platform Onboarding</x:v>
      </x:c>
      <x:c r="C1" s="38" t="str">
        <x:v>Platform Onboarding</x:v>
      </x:c>
      <x:c r="D1" s="38" t="str">
        <x:v>Platform Onboarding</x:v>
      </x:c>
      <x:c r="E1" s="38" t="str">
        <x:v>Platform Onboarding</x:v>
      </x:c>
      <x:c r="F1" s="38" t="str">
        <x:v>Platform Onboarding</x:v>
      </x:c>
      <x:c r="G1" s="38" t="str">
        <x:v>Platform Onboarding</x:v>
      </x:c>
      <x:c r="H1" s="38" t="str">
        <x:v>Platform Onboarding</x:v>
      </x:c>
      <x:c r="I1" s="38" t="str">
        <x:v>Platform Onboarding</x:v>
      </x:c>
      <x:c r="J1" s="38" t="str">
        <x:v>Platform Onboarding</x:v>
      </x:c>
      <x:c r="K1" s="38" t="str">
        <x:v>Platform Onboarding</x:v>
      </x:c>
      <x:c r="L1" s="38" t="str">
        <x:v>Platform Onboarding</x:v>
      </x:c>
    </x:row>
    <x:row r="2" ht="34" customHeight="1">
      <x:c r="A2" s="39" t="str">
        <x:v>Environment and platform onboarding checklist for NGDC / Unity readiness. HyperExecute is tracked separately from Harness as automated testing.</x:v>
      </x:c>
      <x:c r="B2" s="39" t="str">
        <x:v>Environment and platform onboarding checklist for NGDC / Unity readiness. HyperExecute is tracked separately from Harness as automated testing.</x:v>
      </x:c>
      <x:c r="C2" s="39" t="str">
        <x:v>Environment and platform onboarding checklist for NGDC / Unity readiness. HyperExecute is tracked separately from Harness as automated testing.</x:v>
      </x:c>
      <x:c r="D2" s="39" t="str">
        <x:v>Environment and platform onboarding checklist for NGDC / Unity readiness. HyperExecute is tracked separately from Harness as automated testing.</x:v>
      </x:c>
      <x:c r="E2" s="39" t="str">
        <x:v>Environment and platform onboarding checklist for NGDC / Unity readiness. HyperExecute is tracked separately from Harness as automated testing.</x:v>
      </x:c>
      <x:c r="F2" s="39" t="str">
        <x:v>Environment and platform onboarding checklist for NGDC / Unity readiness. HyperExecute is tracked separately from Harness as automated testing.</x:v>
      </x:c>
      <x:c r="G2" s="39" t="str">
        <x:v>Environment and platform onboarding checklist for NGDC / Unity readiness. HyperExecute is tracked separately from Harness as automated testing.</x:v>
      </x:c>
      <x:c r="H2" s="39" t="str">
        <x:v>Environment and platform onboarding checklist for NGDC / Unity readiness. HyperExecute is tracked separately from Harness as automated testing.</x:v>
      </x:c>
      <x:c r="I2" s="39" t="str">
        <x:v>Environment and platform onboarding checklist for NGDC / Unity readiness. HyperExecute is tracked separately from Harness as automated testing.</x:v>
      </x:c>
      <x:c r="J2" s="39" t="str">
        <x:v>Environment and platform onboarding checklist for NGDC / Unity readiness. HyperExecute is tracked separately from Harness as automated testing.</x:v>
      </x:c>
      <x:c r="K2" s="39" t="str">
        <x:v>Environment and platform onboarding checklist for NGDC / Unity readiness. HyperExecute is tracked separately from Harness as automated testing.</x:v>
      </x:c>
      <x:c r="L2" s="39" t="str">
        <x:v>Environment and platform onboarding checklist for NGDC / Unity readiness. HyperExecute is tracked separately from Harness as automated testing.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</x:row>
    <x:row r="4" ht="34" customHeight="1">
      <x:c r="A4" s="44" t="str">
        <x:v>Platform</x:v>
      </x:c>
      <x:c r="B4" s="44" t="str">
        <x:v>Phase</x:v>
      </x:c>
      <x:c r="C4" s="44" t="str">
        <x:v>Task</x:v>
      </x:c>
      <x:c r="D4" s="44" t="str">
        <x:v>Environment</x:v>
      </x:c>
      <x:c r="E4" s="44" t="str">
        <x:v>Owner</x:v>
      </x:c>
      <x:c r="F4" s="44" t="str">
        <x:v>Dependency ID</x:v>
      </x:c>
      <x:c r="G4" s="44" t="str">
        <x:v>Request / Jira</x:v>
      </x:c>
      <x:c r="H4" s="44" t="str">
        <x:v>Status</x:v>
      </x:c>
      <x:c r="I4" s="44" t="str">
        <x:v>Priority</x:v>
      </x:c>
      <x:c r="J4" s="44" t="str">
        <x:v>Est Days Min</x:v>
      </x:c>
      <x:c r="K4" s="44" t="str">
        <x:v>Est Days Max</x:v>
      </x:c>
      <x:c r="L4" s="44" t="str">
        <x:v>Notes</x:v>
      </x:c>
    </x:row>
    <x:row r="5">
      <x:c r="A5" s="15" t="str">
        <x:v>Containers</x:v>
      </x:c>
      <x:c r="B5" s="15" t="str">
        <x:v>Access</x:v>
      </x:c>
      <x:c r="C5" s="15" t="str">
        <x:v>Identify target container platform (OpenShift and Kubernetes)</x:v>
      </x:c>
      <x:c r="D5" s="15" t="str">
        <x:v>DEV/QA/PROD</x:v>
      </x:c>
      <x:c r="E5" s="15" t="str">
        <x:v>CVIS / Platform</x:v>
      </x:c>
      <x:c r="F5" s="15" t="str">
        <x:v>DEP-001</x:v>
      </x:c>
      <x:c r="G5" s="15" t="str"/>
      <x:c r="H5" s="15" t="str">
        <x:v>To do</x:v>
      </x:c>
      <x:c r="I5" s="23" t="n">
        <x:v>5</x:v>
      </x:c>
      <x:c r="J5" s="23" t="n">
        <x:v>1</x:v>
      </x:c>
      <x:c r="K5" s="23" t="n">
        <x:v>2</x:v>
      </x:c>
      <x:c r="L5" s="15" t="str"/>
    </x:row>
    <x:row r="6">
      <x:c r="A6" s="15" t="str">
        <x:v>Containers</x:v>
      </x:c>
      <x:c r="B6" s="15" t="str">
        <x:v>Access</x:v>
      </x:c>
      <x:c r="C6" s="15" t="str">
        <x:v>Determine required environments (DEV, QA, PROD)</x:v>
      </x:c>
      <x:c r="D6" s="15" t="str">
        <x:v>DEV/QA/PROD</x:v>
      </x:c>
      <x:c r="E6" s="15" t="str">
        <x:v>CVIS / Platform</x:v>
      </x:c>
      <x:c r="F6" s="15" t="str">
        <x:v>DEP-001</x:v>
      </x:c>
      <x:c r="G6" s="15" t="str"/>
      <x:c r="H6" s="15" t="str">
        <x:v>To do</x:v>
      </x:c>
      <x:c r="I6" s="23" t="n">
        <x:v>5</x:v>
      </x:c>
      <x:c r="J6" s="23" t="n">
        <x:v>1</x:v>
      </x:c>
      <x:c r="K6" s="23" t="n">
        <x:v>2</x:v>
      </x:c>
      <x:c r="L6" s="15" t="str"/>
    </x:row>
    <x:row r="7">
      <x:c r="A7" s="15" t="str">
        <x:v>Containers</x:v>
      </x:c>
      <x:c r="B7" s="15" t="str">
        <x:v>Access</x:v>
      </x:c>
      <x:c r="C7" s="15" t="str">
        <x:v>Request access through AIMS</x:v>
      </x:c>
      <x:c r="D7" s="15" t="str">
        <x:v>DEV/QA/PROD</x:v>
      </x:c>
      <x:c r="E7" s="15" t="str">
        <x:v>CVIS / Platform</x:v>
      </x:c>
      <x:c r="F7" s="15" t="str">
        <x:v>DEP-001</x:v>
      </x:c>
      <x:c r="G7" s="15" t="str"/>
      <x:c r="H7" s="15" t="str">
        <x:v>To do</x:v>
      </x:c>
      <x:c r="I7" s="23" t="n">
        <x:v>5</x:v>
      </x:c>
      <x:c r="J7" s="23" t="n">
        <x:v>1</x:v>
      </x:c>
      <x:c r="K7" s="23" t="n">
        <x:v>3</x:v>
      </x:c>
      <x:c r="L7" s="15" t="str"/>
    </x:row>
    <x:row r="8">
      <x:c r="A8" s="15" t="str">
        <x:v>Containers</x:v>
      </x:c>
      <x:c r="B8" s="15" t="str">
        <x:v>Access</x:v>
      </x:c>
      <x:c r="C8" s="15" t="str">
        <x:v>Request required AD group memberships</x:v>
      </x:c>
      <x:c r="D8" s="15" t="str">
        <x:v>DEV/QA/PROD</x:v>
      </x:c>
      <x:c r="E8" s="15" t="str">
        <x:v>CVIS / Platform</x:v>
      </x:c>
      <x:c r="F8" s="15" t="str">
        <x:v>DEP-001</x:v>
      </x:c>
      <x:c r="G8" s="15" t="str"/>
      <x:c r="H8" s="15" t="str">
        <x:v>To do</x:v>
      </x:c>
      <x:c r="I8" s="23" t="n">
        <x:v>5</x:v>
      </x:c>
      <x:c r="J8" s="23" t="n">
        <x:v>1</x:v>
      </x:c>
      <x:c r="K8" s="23" t="n">
        <x:v>3</x:v>
      </x:c>
      <x:c r="L8" s="15" t="str"/>
    </x:row>
    <x:row r="9">
      <x:c r="A9" s="15" t="str">
        <x:v>Containers</x:v>
      </x:c>
      <x:c r="B9" s="15" t="str">
        <x:v>Access</x:v>
      </x:c>
      <x:c r="C9" s="15" t="str">
        <x:v>Obtain container registry permissions</x:v>
      </x:c>
      <x:c r="D9" s="15" t="str">
        <x:v>DEV/QA/PROD</x:v>
      </x:c>
      <x:c r="E9" s="15" t="str">
        <x:v>CVIS / Platform</x:v>
      </x:c>
      <x:c r="F9" s="15" t="str">
        <x:v>DEP-001</x:v>
      </x:c>
      <x:c r="G9" s="15" t="str"/>
      <x:c r="H9" s="15" t="str">
        <x:v>To do</x:v>
      </x:c>
      <x:c r="I9" s="23" t="n">
        <x:v>5</x:v>
      </x:c>
      <x:c r="J9" s="23" t="n">
        <x:v>1</x:v>
      </x:c>
      <x:c r="K9" s="23" t="n">
        <x:v>3</x:v>
      </x:c>
      <x:c r="L9" s="15" t="str"/>
    </x:row>
    <x:row r="10">
      <x:c r="A10" s="15" t="str">
        <x:v>Containers</x:v>
      </x:c>
      <x:c r="B10" s="15" t="str">
        <x:v>Access</x:v>
      </x:c>
      <x:c r="C10" s="15" t="str">
        <x:v>Validate successful login</x:v>
      </x:c>
      <x:c r="D10" s="15" t="str">
        <x:v>DEV/QA/PROD</x:v>
      </x:c>
      <x:c r="E10" s="15" t="str">
        <x:v>CVIS / Platform</x:v>
      </x:c>
      <x:c r="F10" s="15" t="str">
        <x:v>DEP-001</x:v>
      </x:c>
      <x:c r="G10" s="15" t="str"/>
      <x:c r="H10" s="15" t="str">
        <x:v>To do</x:v>
      </x:c>
      <x:c r="I10" s="23" t="n">
        <x:v>5</x:v>
      </x:c>
      <x:c r="J10" s="23" t="n">
        <x:v>0.5</x:v>
      </x:c>
      <x:c r="K10" s="23" t="n">
        <x:v>1</x:v>
      </x:c>
      <x:c r="L10" s="15" t="str"/>
    </x:row>
    <x:row r="11">
      <x:c r="A11" s="15" t="str">
        <x:v>Containers</x:v>
      </x:c>
      <x:c r="B11" s="15" t="str">
        <x:v>Setup</x:v>
      </x:c>
      <x:c r="C11" s="15" t="str">
        <x:v>Install required CLI tools</x:v>
      </x:c>
      <x:c r="D11" s="15" t="str">
        <x:v>DEV</x:v>
      </x:c>
      <x:c r="E11" s="15" t="str">
        <x:v>CVIS</x:v>
      </x:c>
      <x:c r="F11" s="15" t="str">
        <x:v>DEP-001</x:v>
      </x:c>
      <x:c r="G11" s="15" t="str"/>
      <x:c r="H11" s="15" t="str">
        <x:v>To do</x:v>
      </x:c>
      <x:c r="I11" s="23" t="n">
        <x:v>11</x:v>
      </x:c>
      <x:c r="J11" s="23" t="n">
        <x:v>0.5</x:v>
      </x:c>
      <x:c r="K11" s="23" t="n">
        <x:v>1</x:v>
      </x:c>
      <x:c r="L11" s="15" t="str"/>
    </x:row>
    <x:row r="12">
      <x:c r="A12" s="15" t="str">
        <x:v>Containers</x:v>
      </x:c>
      <x:c r="B12" s="15" t="str">
        <x:v>Setup</x:v>
      </x:c>
      <x:c r="C12" s="15" t="str">
        <x:v>Configure authentication credentials</x:v>
      </x:c>
      <x:c r="D12" s="15" t="str">
        <x:v>DEV</x:v>
      </x:c>
      <x:c r="E12" s="15" t="str">
        <x:v>CVIS</x:v>
      </x:c>
      <x:c r="F12" s="15" t="str">
        <x:v>DEP-001</x:v>
      </x:c>
      <x:c r="G12" s="15" t="str"/>
      <x:c r="H12" s="15" t="str">
        <x:v>To do</x:v>
      </x:c>
      <x:c r="I12" s="23" t="n">
        <x:v>11</x:v>
      </x:c>
      <x:c r="J12" s="23" t="n">
        <x:v>0.5</x:v>
      </x:c>
      <x:c r="K12" s="23" t="n">
        <x:v>1</x:v>
      </x:c>
      <x:c r="L12" s="15" t="str"/>
    </x:row>
    <x:row r="13">
      <x:c r="A13" s="15" t="str">
        <x:v>Containers</x:v>
      </x:c>
      <x:c r="B13" s="15" t="str">
        <x:v>Setup</x:v>
      </x:c>
      <x:c r="C13" s="15" t="str">
        <x:v>Verify cluster connectivity</x:v>
      </x:c>
      <x:c r="D13" s="15" t="str">
        <x:v>DEV</x:v>
      </x:c>
      <x:c r="E13" s="15" t="str">
        <x:v>CVIS / Platform</x:v>
      </x:c>
      <x:c r="F13" s="15" t="str">
        <x:v>DEP-001</x:v>
      </x:c>
      <x:c r="G13" s="15" t="str"/>
      <x:c r="H13" s="15" t="str">
        <x:v>To do</x:v>
      </x:c>
      <x:c r="I13" s="23" t="n">
        <x:v>11</x:v>
      </x:c>
      <x:c r="J13" s="23" t="n">
        <x:v>0.5</x:v>
      </x:c>
      <x:c r="K13" s="23" t="n">
        <x:v>1</x:v>
      </x:c>
      <x:c r="L13" s="15" t="str"/>
    </x:row>
    <x:row r="14">
      <x:c r="A14" s="15" t="str">
        <x:v>Containers</x:v>
      </x:c>
      <x:c r="B14" s="15" t="str">
        <x:v>Setup</x:v>
      </x:c>
      <x:c r="C14" s="15" t="str">
        <x:v>Verify image pull permissions</x:v>
      </x:c>
      <x:c r="D14" s="15" t="str">
        <x:v>DEV</x:v>
      </x:c>
      <x:c r="E14" s="15" t="str">
        <x:v>CVIS / Platform</x:v>
      </x:c>
      <x:c r="F14" s="15" t="str">
        <x:v>DEP-001</x:v>
      </x:c>
      <x:c r="G14" s="15" t="str"/>
      <x:c r="H14" s="15" t="str">
        <x:v>To do</x:v>
      </x:c>
      <x:c r="I14" s="23" t="n">
        <x:v>11</x:v>
      </x:c>
      <x:c r="J14" s="23" t="n">
        <x:v>0.5</x:v>
      </x:c>
      <x:c r="K14" s="23" t="n">
        <x:v>1</x:v>
      </x:c>
      <x:c r="L14" s="15" t="str"/>
    </x:row>
    <x:row r="15">
      <x:c r="A15" s="15" t="str">
        <x:v>Containers</x:v>
      </x:c>
      <x:c r="B15" s="15" t="str">
        <x:v>Setup</x:v>
      </x:c>
      <x:c r="C15" s="15" t="str">
        <x:v>Deploy a test container</x:v>
      </x:c>
      <x:c r="D15" s="15" t="str">
        <x:v>DEV</x:v>
      </x:c>
      <x:c r="E15" s="15" t="str">
        <x:v>CVIS / Platform</x:v>
      </x:c>
      <x:c r="F15" s="15" t="str">
        <x:v>DEP-001</x:v>
      </x:c>
      <x:c r="G15" s="15" t="str"/>
      <x:c r="H15" s="15" t="str">
        <x:v>To do</x:v>
      </x:c>
      <x:c r="I15" s="23" t="n">
        <x:v>11</x:v>
      </x:c>
      <x:c r="J15" s="23" t="n">
        <x:v>1</x:v>
      </x:c>
      <x:c r="K15" s="23" t="n">
        <x:v>2</x:v>
      </x:c>
      <x:c r="L15" s="15" t="str"/>
    </x:row>
    <x:row r="16">
      <x:c r="A16" s="15" t="str">
        <x:v>Containers</x:v>
      </x:c>
      <x:c r="B16" s="15" t="str">
        <x:v>Setup</x:v>
      </x:c>
      <x:c r="C16" s="15" t="str">
        <x:v>Document access and connection information</x:v>
      </x:c>
      <x:c r="D16" s="15" t="str">
        <x:v>DEV</x:v>
      </x:c>
      <x:c r="E16" s="15" t="str">
        <x:v>CVIS</x:v>
      </x:c>
      <x:c r="F16" s="15" t="str">
        <x:v>DEP-001</x:v>
      </x:c>
      <x:c r="G16" s="15" t="str"/>
      <x:c r="H16" s="15" t="str">
        <x:v>To do</x:v>
      </x:c>
      <x:c r="I16" s="23" t="n">
        <x:v>11</x:v>
      </x:c>
      <x:c r="J16" s="23" t="n">
        <x:v>0.5</x:v>
      </x:c>
      <x:c r="K16" s="23" t="n">
        <x:v>1</x:v>
      </x:c>
      <x:c r="L16" s="15" t="str"/>
    </x:row>
    <x:row r="17">
      <x:c r="A17" s="15" t="str">
        <x:v>Devin</x:v>
      </x:c>
      <x:c r="B17" s="15" t="str">
        <x:v>Access</x:v>
      </x:c>
      <x:c r="C17" s="15" t="str">
        <x:v>Request Devin entitlement</x:v>
      </x:c>
      <x:c r="D17" s="15" t="str">
        <x:v>DEV</x:v>
      </x:c>
      <x:c r="E17" s="15" t="str">
        <x:v>CVIS</x:v>
      </x:c>
      <x:c r="F17" s="15" t="str">
        <x:v>DEP-005</x:v>
      </x:c>
      <x:c r="G17" s="15" t="str"/>
      <x:c r="H17" s="15" t="str">
        <x:v>To do</x:v>
      </x:c>
      <x:c r="I17" s="23" t="n">
        <x:v>1</x:v>
      </x:c>
      <x:c r="J17" s="23" t="n">
        <x:v>0.5</x:v>
      </x:c>
      <x:c r="K17" s="23" t="n">
        <x:v>2</x:v>
      </x:c>
      <x:c r="L17" s="15" t="str">
        <x:v>Member / Read-Only / Monitor as applicable</x:v>
      </x:c>
    </x:row>
    <x:row r="18">
      <x:c r="A18" s="15" t="str">
        <x:v>Devin</x:v>
      </x:c>
      <x:c r="B18" s="15" t="str">
        <x:v>Access</x:v>
      </x:c>
      <x:c r="C18" s="15" t="str">
        <x:v>Complete access verification check</x:v>
      </x:c>
      <x:c r="D18" s="15" t="str">
        <x:v>DEV</x:v>
      </x:c>
      <x:c r="E18" s="15" t="str">
        <x:v>CVIS</x:v>
      </x:c>
      <x:c r="F18" s="15" t="str">
        <x:v>DEP-005</x:v>
      </x:c>
      <x:c r="G18" s="15" t="str"/>
      <x:c r="H18" s="15" t="str">
        <x:v>To do</x:v>
      </x:c>
      <x:c r="I18" s="23" t="n">
        <x:v>1</x:v>
      </x:c>
      <x:c r="J18" s="23" t="n">
        <x:v>0.5</x:v>
      </x:c>
      <x:c r="K18" s="23" t="n">
        <x:v>1</x:v>
      </x:c>
      <x:c r="L18" s="15" t="str"/>
    </x:row>
    <x:row r="19">
      <x:c r="A19" s="15" t="str">
        <x:v>Devin</x:v>
      </x:c>
      <x:c r="B19" s="15" t="str">
        <x:v>Access</x:v>
      </x:c>
      <x:c r="C19" s="15" t="str">
        <x:v>Confirm repository access permissions</x:v>
      </x:c>
      <x:c r="D19" s="15" t="str">
        <x:v>DEV</x:v>
      </x:c>
      <x:c r="E19" s="15" t="str">
        <x:v>CVIS</x:v>
      </x:c>
      <x:c r="F19" s="15" t="str">
        <x:v>DEP-005</x:v>
      </x:c>
      <x:c r="G19" s="15" t="str"/>
      <x:c r="H19" s="15" t="str">
        <x:v>To do</x:v>
      </x:c>
      <x:c r="I19" s="23" t="n">
        <x:v>1</x:v>
      </x:c>
      <x:c r="J19" s="23" t="n">
        <x:v>0.5</x:v>
      </x:c>
      <x:c r="K19" s="23" t="n">
        <x:v>1</x:v>
      </x:c>
      <x:c r="L19" s="15" t="str"/>
    </x:row>
    <x:row r="20">
      <x:c r="A20" s="15" t="str">
        <x:v>Devin</x:v>
      </x:c>
      <x:c r="B20" s="15" t="str">
        <x:v>Access</x:v>
      </x:c>
      <x:c r="C20" s="15" t="str">
        <x:v>Verify successful Devin login and workspace</x:v>
      </x:c>
      <x:c r="D20" s="15" t="str">
        <x:v>DEV</x:v>
      </x:c>
      <x:c r="E20" s="15" t="str">
        <x:v>CVIS</x:v>
      </x:c>
      <x:c r="F20" s="15" t="str">
        <x:v>DEP-005</x:v>
      </x:c>
      <x:c r="G20" s="15" t="str"/>
      <x:c r="H20" s="15" t="str">
        <x:v>To do</x:v>
      </x:c>
      <x:c r="I20" s="23" t="n">
        <x:v>1</x:v>
      </x:c>
      <x:c r="J20" s="23" t="n">
        <x:v>0.5</x:v>
      </x:c>
      <x:c r="K20" s="23" t="n">
        <x:v>1</x:v>
      </x:c>
      <x:c r="L20" s="15" t="str"/>
    </x:row>
    <x:row r="21">
      <x:c r="A21" s="15" t="str">
        <x:v>Devin</x:v>
      </x:c>
      <x:c r="B21" s="15" t="str">
        <x:v>Setup</x:v>
      </x:c>
      <x:c r="C21" s="15" t="str">
        <x:v>Complete Quick Start Guide setup</x:v>
      </x:c>
      <x:c r="D21" s="15" t="str">
        <x:v>DEV</x:v>
      </x:c>
      <x:c r="E21" s="15" t="str">
        <x:v>CVIS</x:v>
      </x:c>
      <x:c r="F21" s="15" t="str">
        <x:v>DEP-005</x:v>
      </x:c>
      <x:c r="G21" s="15" t="str"/>
      <x:c r="H21" s="15" t="str">
        <x:v>To do</x:v>
      </x:c>
      <x:c r="I21" s="23" t="n">
        <x:v>12</x:v>
      </x:c>
      <x:c r="J21" s="23" t="n">
        <x:v>0.5</x:v>
      </x:c>
      <x:c r="K21" s="23" t="n">
        <x:v>1</x:v>
      </x:c>
      <x:c r="L21" s="15" t="str"/>
    </x:row>
    <x:row r="22">
      <x:c r="A22" s="15" t="str">
        <x:v>Devin</x:v>
      </x:c>
      <x:c r="B22" s="15" t="str">
        <x:v>Setup</x:v>
      </x:c>
      <x:c r="C22" s="15" t="str">
        <x:v>Configure machine blueprint</x:v>
      </x:c>
      <x:c r="D22" s="15" t="str">
        <x:v>DEV</x:v>
      </x:c>
      <x:c r="E22" s="15" t="str">
        <x:v>CVIS</x:v>
      </x:c>
      <x:c r="F22" s="15" t="str">
        <x:v>DEP-005</x:v>
      </x:c>
      <x:c r="G22" s="15" t="str"/>
      <x:c r="H22" s="15" t="str">
        <x:v>To do</x:v>
      </x:c>
      <x:c r="I22" s="23" t="n">
        <x:v>12</x:v>
      </x:c>
      <x:c r="J22" s="23" t="n">
        <x:v>1</x:v>
      </x:c>
      <x:c r="K22" s="23" t="n">
        <x:v>2</x:v>
      </x:c>
      <x:c r="L22" s="15" t="str"/>
    </x:row>
    <x:row r="23">
      <x:c r="A23" s="15" t="str">
        <x:v>Devin</x:v>
      </x:c>
      <x:c r="B23" s="15" t="str">
        <x:v>Setup</x:v>
      </x:c>
      <x:c r="C23" s="15" t="str">
        <x:v>Configure Java/Python/NPM build environment as applicable</x:v>
      </x:c>
      <x:c r="D23" s="15" t="str">
        <x:v>DEV</x:v>
      </x:c>
      <x:c r="E23" s="15" t="str">
        <x:v>CVIS</x:v>
      </x:c>
      <x:c r="F23" s="15" t="str">
        <x:v>DEP-005</x:v>
      </x:c>
      <x:c r="G23" s="15" t="str"/>
      <x:c r="H23" s="15" t="str">
        <x:v>To do</x:v>
      </x:c>
      <x:c r="I23" s="23" t="n">
        <x:v>12</x:v>
      </x:c>
      <x:c r="J23" s="23" t="n">
        <x:v>1</x:v>
      </x:c>
      <x:c r="K23" s="23" t="n">
        <x:v>2</x:v>
      </x:c>
      <x:c r="L23" s="15" t="str"/>
    </x:row>
    <x:row r="24">
      <x:c r="A24" s="15" t="str">
        <x:v>Devin</x:v>
      </x:c>
      <x:c r="B24" s="15" t="str">
        <x:v>Setup</x:v>
      </x:c>
      <x:c r="C24" s="15" t="str">
        <x:v>Configure repository indexing</x:v>
      </x:c>
      <x:c r="D24" s="15" t="str">
        <x:v>DEV</x:v>
      </x:c>
      <x:c r="E24" s="15" t="str">
        <x:v>CVIS</x:v>
      </x:c>
      <x:c r="F24" s="15" t="str">
        <x:v>DEP-005</x:v>
      </x:c>
      <x:c r="G24" s="15" t="str"/>
      <x:c r="H24" s="15" t="str">
        <x:v>To do</x:v>
      </x:c>
      <x:c r="I24" s="23" t="n">
        <x:v>12</x:v>
      </x:c>
      <x:c r="J24" s="23" t="n">
        <x:v>0.5</x:v>
      </x:c>
      <x:c r="K24" s="23" t="n">
        <x:v>1</x:v>
      </x:c>
      <x:c r="L24" s="15" t="str"/>
    </x:row>
    <x:row r="25">
      <x:c r="A25" s="15" t="str">
        <x:v>Devin</x:v>
      </x:c>
      <x:c r="B25" s="15" t="str">
        <x:v>Setup</x:v>
      </x:c>
      <x:c r="C25" s="15" t="str">
        <x:v>Validate repository synchronization</x:v>
      </x:c>
      <x:c r="D25" s="15" t="str">
        <x:v>DEV</x:v>
      </x:c>
      <x:c r="E25" s="15" t="str">
        <x:v>CVIS</x:v>
      </x:c>
      <x:c r="F25" s="15" t="str">
        <x:v>DEP-005</x:v>
      </x:c>
      <x:c r="G25" s="15" t="str"/>
      <x:c r="H25" s="15" t="str">
        <x:v>To do</x:v>
      </x:c>
      <x:c r="I25" s="23" t="n">
        <x:v>12</x:v>
      </x:c>
      <x:c r="J25" s="23" t="n">
        <x:v>0.5</x:v>
      </x:c>
      <x:c r="K25" s="23" t="n">
        <x:v>1</x:v>
      </x:c>
      <x:c r="L25" s="15" t="str"/>
    </x:row>
    <x:row r="26">
      <x:c r="A26" s="15" t="str">
        <x:v>Devin</x:v>
      </x:c>
      <x:c r="B26" s="15" t="str">
        <x:v>Setup</x:v>
      </x:c>
      <x:c r="C26" s="15" t="str">
        <x:v>Execute test Devin session</x:v>
      </x:c>
      <x:c r="D26" s="15" t="str">
        <x:v>DEV</x:v>
      </x:c>
      <x:c r="E26" s="15" t="str">
        <x:v>CVIS</x:v>
      </x:c>
      <x:c r="F26" s="15" t="str">
        <x:v>DEP-005</x:v>
      </x:c>
      <x:c r="G26" s="15" t="str"/>
      <x:c r="H26" s="15" t="str">
        <x:v>To do</x:v>
      </x:c>
      <x:c r="I26" s="23" t="n">
        <x:v>12</x:v>
      </x:c>
      <x:c r="J26" s="23" t="n">
        <x:v>0.5</x:v>
      </x:c>
      <x:c r="K26" s="23" t="n">
        <x:v>1</x:v>
      </x:c>
      <x:c r="L26" s="15" t="str"/>
    </x:row>
    <x:row r="27">
      <x:c r="A27" s="15" t="str">
        <x:v>Devin</x:v>
      </x:c>
      <x:c r="B27" s="15" t="str">
        <x:v>Setup</x:v>
      </x:c>
      <x:c r="C27" s="15" t="str">
        <x:v>Save environment blueprint for future use</x:v>
      </x:c>
      <x:c r="D27" s="15" t="str">
        <x:v>DEV</x:v>
      </x:c>
      <x:c r="E27" s="15" t="str">
        <x:v>CVIS</x:v>
      </x:c>
      <x:c r="F27" s="15" t="str">
        <x:v>DEP-005</x:v>
      </x:c>
      <x:c r="G27" s="15" t="str"/>
      <x:c r="H27" s="15" t="str">
        <x:v>To do</x:v>
      </x:c>
      <x:c r="I27" s="23" t="n">
        <x:v>12</x:v>
      </x:c>
      <x:c r="J27" s="23" t="n">
        <x:v>0.5</x:v>
      </x:c>
      <x:c r="K27" s="23" t="n">
        <x:v>1</x:v>
      </x:c>
      <x:c r="L27" s="15" t="str"/>
    </x:row>
    <x:row r="28">
      <x:c r="A28" s="15" t="str">
        <x:v>Kafka</x:v>
      </x:c>
      <x:c r="B28" s="15" t="str">
        <x:v>Access</x:v>
      </x:c>
      <x:c r="C28" s="15" t="str">
        <x:v>Request KEES (Kafka Enterprise Event Streaming) access</x:v>
      </x:c>
      <x:c r="D28" s="15" t="str">
        <x:v>Non-Prod</x:v>
      </x:c>
      <x:c r="E28" s="15" t="str">
        <x:v>CVIS / Kafka Team</x:v>
      </x:c>
      <x:c r="F28" s="15" t="str">
        <x:v>DEP-006</x:v>
      </x:c>
      <x:c r="G28" s="15" t="str"/>
      <x:c r="H28" s="15" t="str">
        <x:v>To do</x:v>
      </x:c>
      <x:c r="I28" s="23" t="n">
        <x:v>3</x:v>
      </x:c>
      <x:c r="J28" s="23" t="n">
        <x:v>1</x:v>
      </x:c>
      <x:c r="K28" s="23" t="n">
        <x:v>3</x:v>
      </x:c>
      <x:c r="L28" s="15" t="str"/>
    </x:row>
    <x:row r="29">
      <x:c r="A29" s="15" t="str">
        <x:v>Kafka</x:v>
      </x:c>
      <x:c r="B29" s="15" t="str">
        <x:v>Access</x:v>
      </x:c>
      <x:c r="C29" s="15" t="str">
        <x:v>Request membership in required Kafka AD groups</x:v>
      </x:c>
      <x:c r="D29" s="15" t="str">
        <x:v>Non-Prod</x:v>
      </x:c>
      <x:c r="E29" s="15" t="str">
        <x:v>CVIS / Kafka Team</x:v>
      </x:c>
      <x:c r="F29" s="15" t="str">
        <x:v>DEP-006</x:v>
      </x:c>
      <x:c r="G29" s="15" t="str"/>
      <x:c r="H29" s="15" t="str">
        <x:v>To do</x:v>
      </x:c>
      <x:c r="I29" s="23" t="n">
        <x:v>3</x:v>
      </x:c>
      <x:c r="J29" s="23" t="n">
        <x:v>1</x:v>
      </x:c>
      <x:c r="K29" s="23" t="n">
        <x:v>3</x:v>
      </x:c>
      <x:c r="L29" s="15" t="str"/>
    </x:row>
    <x:row r="30">
      <x:c r="A30" s="15" t="str">
        <x:v>Kafka</x:v>
      </x:c>
      <x:c r="B30" s="15" t="str">
        <x:v>Access</x:v>
      </x:c>
      <x:c r="C30" s="15" t="str">
        <x:v>Verify Non-Production access</x:v>
      </x:c>
      <x:c r="D30" s="15" t="str">
        <x:v>Non-Prod</x:v>
      </x:c>
      <x:c r="E30" s="15" t="str">
        <x:v>CVIS / Kafka Team</x:v>
      </x:c>
      <x:c r="F30" s="15" t="str">
        <x:v>DEP-006</x:v>
      </x:c>
      <x:c r="G30" s="15" t="str"/>
      <x:c r="H30" s="15" t="str">
        <x:v>To do</x:v>
      </x:c>
      <x:c r="I30" s="23" t="n">
        <x:v>3</x:v>
      </x:c>
      <x:c r="J30" s="23" t="n">
        <x:v>0.5</x:v>
      </x:c>
      <x:c r="K30" s="23" t="n">
        <x:v>1</x:v>
      </x:c>
      <x:c r="L30" s="15" t="str"/>
    </x:row>
    <x:row r="31">
      <x:c r="A31" s="15" t="str">
        <x:v>Kafka</x:v>
      </x:c>
      <x:c r="B31" s="15" t="str">
        <x:v>Access</x:v>
      </x:c>
      <x:c r="C31" s="15" t="str">
        <x:v>Verify topic-level permissions</x:v>
      </x:c>
      <x:c r="D31" s="15" t="str">
        <x:v>Non-Prod</x:v>
      </x:c>
      <x:c r="E31" s="15" t="str">
        <x:v>CVIS / Kafka Team</x:v>
      </x:c>
      <x:c r="F31" s="15" t="str">
        <x:v>DEP-006</x:v>
      </x:c>
      <x:c r="G31" s="15" t="str"/>
      <x:c r="H31" s="15" t="str">
        <x:v>To do</x:v>
      </x:c>
      <x:c r="I31" s="23" t="n">
        <x:v>3</x:v>
      </x:c>
      <x:c r="J31" s="23" t="n">
        <x:v>0.5</x:v>
      </x:c>
      <x:c r="K31" s="23" t="n">
        <x:v>1</x:v>
      </x:c>
      <x:c r="L31" s="15" t="str"/>
    </x:row>
    <x:row r="32">
      <x:c r="A32" s="15" t="str">
        <x:v>Kafka</x:v>
      </x:c>
      <x:c r="B32" s="15" t="str">
        <x:v>Access</x:v>
      </x:c>
      <x:c r="C32" s="15" t="str">
        <x:v>Validate Kafka platform login</x:v>
      </x:c>
      <x:c r="D32" s="15" t="str">
        <x:v>Non-Prod</x:v>
      </x:c>
      <x:c r="E32" s="15" t="str">
        <x:v>CVIS / Kafka Team</x:v>
      </x:c>
      <x:c r="F32" s="15" t="str">
        <x:v>DEP-006</x:v>
      </x:c>
      <x:c r="G32" s="15" t="str"/>
      <x:c r="H32" s="15" t="str">
        <x:v>To do</x:v>
      </x:c>
      <x:c r="I32" s="23" t="n">
        <x:v>3</x:v>
      </x:c>
      <x:c r="J32" s="23" t="n">
        <x:v>0.5</x:v>
      </x:c>
      <x:c r="K32" s="23" t="n">
        <x:v>1</x:v>
      </x:c>
      <x:c r="L32" s="15" t="str"/>
    </x:row>
    <x:row r="33">
      <x:c r="A33" s="15" t="str">
        <x:v>Kafka</x:v>
      </x:c>
      <x:c r="B33" s="15" t="str">
        <x:v>Setup</x:v>
      </x:c>
      <x:c r="C33" s="15" t="str">
        <x:v>Install Kafka client utilities</x:v>
      </x:c>
      <x:c r="D33" s="15" t="str">
        <x:v>DEV</x:v>
      </x:c>
      <x:c r="E33" s="15" t="str">
        <x:v>CVIS</x:v>
      </x:c>
      <x:c r="F33" s="15" t="str">
        <x:v>DEP-006</x:v>
      </x:c>
      <x:c r="G33" s="15" t="str"/>
      <x:c r="H33" s="15" t="str">
        <x:v>To do</x:v>
      </x:c>
      <x:c r="I33" s="23" t="n">
        <x:v>13</x:v>
      </x:c>
      <x:c r="J33" s="23" t="n">
        <x:v>0.5</x:v>
      </x:c>
      <x:c r="K33" s="23" t="n">
        <x:v>1</x:v>
      </x:c>
      <x:c r="L33" s="15" t="str"/>
    </x:row>
    <x:row r="34">
      <x:c r="A34" s="15" t="str">
        <x:v>Kafka</x:v>
      </x:c>
      <x:c r="B34" s="15" t="str">
        <x:v>Setup</x:v>
      </x:c>
      <x:c r="C34" s="15" t="str">
        <x:v>Configure Kafka bootstrap servers</x:v>
      </x:c>
      <x:c r="D34" s="15" t="str">
        <x:v>DEV</x:v>
      </x:c>
      <x:c r="E34" s="15" t="str">
        <x:v>CVIS / Kafka Team</x:v>
      </x:c>
      <x:c r="F34" s="15" t="str">
        <x:v>DEP-006</x:v>
      </x:c>
      <x:c r="G34" s="15" t="str"/>
      <x:c r="H34" s="15" t="str">
        <x:v>To do</x:v>
      </x:c>
      <x:c r="I34" s="23" t="n">
        <x:v>13</x:v>
      </x:c>
      <x:c r="J34" s="23" t="n">
        <x:v>0.5</x:v>
      </x:c>
      <x:c r="K34" s="23" t="n">
        <x:v>1</x:v>
      </x:c>
      <x:c r="L34" s="15" t="str"/>
    </x:row>
    <x:row r="35">
      <x:c r="A35" s="15" t="str">
        <x:v>Kafka</x:v>
      </x:c>
      <x:c r="B35" s="15" t="str">
        <x:v>Setup</x:v>
      </x:c>
      <x:c r="C35" s="15" t="str">
        <x:v>Configure authentication and certificates</x:v>
      </x:c>
      <x:c r="D35" s="15" t="str">
        <x:v>DEV</x:v>
      </x:c>
      <x:c r="E35" s="15" t="str">
        <x:v>CVIS / Kafka Team</x:v>
      </x:c>
      <x:c r="F35" s="15" t="str">
        <x:v>DEP-006</x:v>
      </x:c>
      <x:c r="G35" s="15" t="str"/>
      <x:c r="H35" s="15" t="str">
        <x:v>To do</x:v>
      </x:c>
      <x:c r="I35" s="23" t="n">
        <x:v>13</x:v>
      </x:c>
      <x:c r="J35" s="23" t="n">
        <x:v>1</x:v>
      </x:c>
      <x:c r="K35" s="23" t="n">
        <x:v>2</x:v>
      </x:c>
      <x:c r="L35" s="15" t="str"/>
    </x:row>
    <x:row r="36">
      <x:c r="A36" s="15" t="str">
        <x:v>Kafka</x:v>
      </x:c>
      <x:c r="B36" s="15" t="str">
        <x:v>Setup</x:v>
      </x:c>
      <x:c r="C36" s="15" t="str">
        <x:v>Configure local development settings</x:v>
      </x:c>
      <x:c r="D36" s="15" t="str">
        <x:v>DEV</x:v>
      </x:c>
      <x:c r="E36" s="15" t="str">
        <x:v>CVIS</x:v>
      </x:c>
      <x:c r="F36" s="15" t="str">
        <x:v>DEP-006</x:v>
      </x:c>
      <x:c r="G36" s="15" t="str"/>
      <x:c r="H36" s="15" t="str">
        <x:v>To do</x:v>
      </x:c>
      <x:c r="I36" s="23" t="n">
        <x:v>13</x:v>
      </x:c>
      <x:c r="J36" s="23" t="n">
        <x:v>0.5</x:v>
      </x:c>
      <x:c r="K36" s="23" t="n">
        <x:v>1</x:v>
      </x:c>
      <x:c r="L36" s="15" t="str"/>
    </x:row>
    <x:row r="37">
      <x:c r="A37" s="15" t="str">
        <x:v>Kafka</x:v>
      </x:c>
      <x:c r="B37" s="15" t="str">
        <x:v>Setup</x:v>
      </x:c>
      <x:c r="C37" s="15" t="str">
        <x:v>Validate producer connectivity</x:v>
      </x:c>
      <x:c r="D37" s="15" t="str">
        <x:v>DEV</x:v>
      </x:c>
      <x:c r="E37" s="15" t="str">
        <x:v>CVIS</x:v>
      </x:c>
      <x:c r="F37" s="15" t="str">
        <x:v>DEP-006</x:v>
      </x:c>
      <x:c r="G37" s="15" t="str"/>
      <x:c r="H37" s="15" t="str">
        <x:v>To do</x:v>
      </x:c>
      <x:c r="I37" s="23" t="n">
        <x:v>13</x:v>
      </x:c>
      <x:c r="J37" s="23" t="n">
        <x:v>0.5</x:v>
      </x:c>
      <x:c r="K37" s="23" t="n">
        <x:v>1</x:v>
      </x:c>
      <x:c r="L37" s="15" t="str"/>
    </x:row>
    <x:row r="38">
      <x:c r="A38" s="15" t="str">
        <x:v>Kafka</x:v>
      </x:c>
      <x:c r="B38" s="15" t="str">
        <x:v>Setup</x:v>
      </x:c>
      <x:c r="C38" s="15" t="str">
        <x:v>Validate consumer connectivity</x:v>
      </x:c>
      <x:c r="D38" s="15" t="str">
        <x:v>DEV</x:v>
      </x:c>
      <x:c r="E38" s="15" t="str">
        <x:v>CVIS</x:v>
      </x:c>
      <x:c r="F38" s="15" t="str">
        <x:v>DEP-006</x:v>
      </x:c>
      <x:c r="G38" s="15" t="str"/>
      <x:c r="H38" s="15" t="str">
        <x:v>To do</x:v>
      </x:c>
      <x:c r="I38" s="23" t="n">
        <x:v>13</x:v>
      </x:c>
      <x:c r="J38" s="23" t="n">
        <x:v>0.5</x:v>
      </x:c>
      <x:c r="K38" s="23" t="n">
        <x:v>1</x:v>
      </x:c>
      <x:c r="L38" s="15" t="str"/>
    </x:row>
    <x:row r="39">
      <x:c r="A39" s="15" t="str">
        <x:v>Kafka</x:v>
      </x:c>
      <x:c r="B39" s="15" t="str">
        <x:v>Setup</x:v>
      </x:c>
      <x:c r="C39" s="15" t="str">
        <x:v>Publish test event</x:v>
      </x:c>
      <x:c r="D39" s="15" t="str">
        <x:v>DEV</x:v>
      </x:c>
      <x:c r="E39" s="15" t="str">
        <x:v>CVIS</x:v>
      </x:c>
      <x:c r="F39" s="15" t="str">
        <x:v>DEP-006</x:v>
      </x:c>
      <x:c r="G39" s="15" t="str"/>
      <x:c r="H39" s="15" t="str">
        <x:v>To do</x:v>
      </x:c>
      <x:c r="I39" s="23" t="n">
        <x:v>13</x:v>
      </x:c>
      <x:c r="J39" s="23" t="n">
        <x:v>0.5</x:v>
      </x:c>
      <x:c r="K39" s="23" t="n">
        <x:v>1</x:v>
      </x:c>
      <x:c r="L39" s="15" t="str"/>
    </x:row>
    <x:row r="40">
      <x:c r="A40" s="15" t="str">
        <x:v>Kafka</x:v>
      </x:c>
      <x:c r="B40" s="15" t="str">
        <x:v>Setup</x:v>
      </x:c>
      <x:c r="C40" s="15" t="str">
        <x:v>Consume test event</x:v>
      </x:c>
      <x:c r="D40" s="15" t="str">
        <x:v>DEV</x:v>
      </x:c>
      <x:c r="E40" s="15" t="str">
        <x:v>CVIS</x:v>
      </x:c>
      <x:c r="F40" s="15" t="str">
        <x:v>DEP-006</x:v>
      </x:c>
      <x:c r="G40" s="15" t="str"/>
      <x:c r="H40" s="15" t="str">
        <x:v>To do</x:v>
      </x:c>
      <x:c r="I40" s="23" t="n">
        <x:v>13</x:v>
      </x:c>
      <x:c r="J40" s="23" t="n">
        <x:v>0.5</x:v>
      </x:c>
      <x:c r="K40" s="23" t="n">
        <x:v>1</x:v>
      </x:c>
      <x:c r="L40" s="15" t="str"/>
    </x:row>
    <x:row r="41">
      <x:c r="A41" s="15" t="str">
        <x:v>Kafka</x:v>
      </x:c>
      <x:c r="B41" s="15" t="str">
        <x:v>Setup</x:v>
      </x:c>
      <x:c r="C41" s="15" t="str">
        <x:v>Validate topic access permissions</x:v>
      </x:c>
      <x:c r="D41" s="15" t="str">
        <x:v>DEV</x:v>
      </x:c>
      <x:c r="E41" s="15" t="str">
        <x:v>CVIS / Kafka Team</x:v>
      </x:c>
      <x:c r="F41" s="15" t="str">
        <x:v>DEP-006</x:v>
      </x:c>
      <x:c r="G41" s="15" t="str"/>
      <x:c r="H41" s="15" t="str">
        <x:v>To do</x:v>
      </x:c>
      <x:c r="I41" s="23" t="n">
        <x:v>13</x:v>
      </x:c>
      <x:c r="J41" s="23" t="n">
        <x:v>0.5</x:v>
      </x:c>
      <x:c r="K41" s="23" t="n">
        <x:v>1</x:v>
      </x:c>
      <x:c r="L41" s="15" t="str"/>
    </x:row>
    <x:row r="42">
      <x:c r="A42" s="15" t="str">
        <x:v>Splunk</x:v>
      </x:c>
      <x:c r="B42" s="15" t="str">
        <x:v>Access</x:v>
      </x:c>
      <x:c r="C42" s="15" t="str">
        <x:v>Determine Cyber Team or Non-Cyber Team request process</x:v>
      </x:c>
      <x:c r="D42" s="15" t="str">
        <x:v>Non-Prod/Prod</x:v>
      </x:c>
      <x:c r="E42" s="15" t="str">
        <x:v>CVIS / Splunk Team</x:v>
      </x:c>
      <x:c r="F42" s="15" t="str">
        <x:v>DEP-007</x:v>
      </x:c>
      <x:c r="G42" s="15" t="str"/>
      <x:c r="H42" s="15" t="str">
        <x:v>To do</x:v>
      </x:c>
      <x:c r="I42" s="23" t="n">
        <x:v>4</x:v>
      </x:c>
      <x:c r="J42" s="23" t="n">
        <x:v>0.5</x:v>
      </x:c>
      <x:c r="K42" s="23" t="n">
        <x:v>1</x:v>
      </x:c>
      <x:c r="L42" s="15" t="str"/>
    </x:row>
    <x:row r="43">
      <x:c r="A43" s="15" t="str">
        <x:v>Splunk</x:v>
      </x:c>
      <x:c r="B43" s="15" t="str">
        <x:v>Access</x:v>
      </x:c>
      <x:c r="C43" s="15" t="str">
        <x:v>Identify required Splunk stack(s)</x:v>
      </x:c>
      <x:c r="D43" s="15" t="str">
        <x:v>Non-Prod/Prod</x:v>
      </x:c>
      <x:c r="E43" s="15" t="str">
        <x:v>CVIS / Splunk Team</x:v>
      </x:c>
      <x:c r="F43" s="15" t="str">
        <x:v>DEP-007</x:v>
      </x:c>
      <x:c r="G43" s="15" t="str"/>
      <x:c r="H43" s="15" t="str">
        <x:v>To do</x:v>
      </x:c>
      <x:c r="I43" s="23" t="n">
        <x:v>4</x:v>
      </x:c>
      <x:c r="J43" s="23" t="n">
        <x:v>0.5</x:v>
      </x:c>
      <x:c r="K43" s="23" t="n">
        <x:v>1</x:v>
      </x:c>
      <x:c r="L43" s="15" t="str">
        <x:v>ES Sandbox, AdHoc Sandbox, ES Prod, AdHoc Prod</x:v>
      </x:c>
    </x:row>
    <x:row r="44">
      <x:c r="A44" s="15" t="str">
        <x:v>Splunk</x:v>
      </x:c>
      <x:c r="B44" s="15" t="str">
        <x:v>Access</x:v>
      </x:c>
      <x:c r="C44" s="15" t="str">
        <x:v>Obtain manager approval if required</x:v>
      </x:c>
      <x:c r="D44" s="15" t="str">
        <x:v>Non-Prod/Prod</x:v>
      </x:c>
      <x:c r="E44" s="15" t="str">
        <x:v>CVIS</x:v>
      </x:c>
      <x:c r="F44" s="15" t="str">
        <x:v>DEP-007</x:v>
      </x:c>
      <x:c r="G44" s="15" t="str"/>
      <x:c r="H44" s="15" t="str">
        <x:v>To do</x:v>
      </x:c>
      <x:c r="I44" s="23" t="n">
        <x:v>4</x:v>
      </x:c>
      <x:c r="J44" s="23" t="n">
        <x:v>0.5</x:v>
      </x:c>
      <x:c r="K44" s="23" t="n">
        <x:v>2</x:v>
      </x:c>
      <x:c r="L44" s="15" t="str"/>
    </x:row>
    <x:row r="45">
      <x:c r="A45" s="15" t="str">
        <x:v>Splunk</x:v>
      </x:c>
      <x:c r="B45" s="15" t="str">
        <x:v>Access</x:v>
      </x:c>
      <x:c r="C45" s="15" t="str">
        <x:v>Submit Splunk access request</x:v>
      </x:c>
      <x:c r="D45" s="15" t="str">
        <x:v>Non-Prod/Prod</x:v>
      </x:c>
      <x:c r="E45" s="15" t="str">
        <x:v>CVIS</x:v>
      </x:c>
      <x:c r="F45" s="15" t="str">
        <x:v>DEP-007</x:v>
      </x:c>
      <x:c r="G45" s="15" t="str"/>
      <x:c r="H45" s="15" t="str">
        <x:v>To do</x:v>
      </x:c>
      <x:c r="I45" s="23" t="n">
        <x:v>4</x:v>
      </x:c>
      <x:c r="J45" s="23" t="n">
        <x:v>0.5</x:v>
      </x:c>
      <x:c r="K45" s="23" t="n">
        <x:v>1</x:v>
      </x:c>
      <x:c r="L45" s="15" t="str"/>
    </x:row>
    <x:row r="46">
      <x:c r="A46" s="15" t="str">
        <x:v>Splunk</x:v>
      </x:c>
      <x:c r="B46" s="15" t="str">
        <x:v>Access</x:v>
      </x:c>
      <x:c r="C46" s="15" t="str">
        <x:v>Verify AD group assignment</x:v>
      </x:c>
      <x:c r="D46" s="15" t="str">
        <x:v>Non-Prod/Prod</x:v>
      </x:c>
      <x:c r="E46" s="15" t="str">
        <x:v>CVIS / Splunk Team</x:v>
      </x:c>
      <x:c r="F46" s="15" t="str">
        <x:v>DEP-007</x:v>
      </x:c>
      <x:c r="G46" s="15" t="str"/>
      <x:c r="H46" s="15" t="str">
        <x:v>To do</x:v>
      </x:c>
      <x:c r="I46" s="23" t="n">
        <x:v>4</x:v>
      </x:c>
      <x:c r="J46" s="23" t="n">
        <x:v>0.5</x:v>
      </x:c>
      <x:c r="K46" s="23" t="n">
        <x:v>1</x:v>
      </x:c>
      <x:c r="L46" s="15" t="str"/>
    </x:row>
    <x:row r="47">
      <x:c r="A47" s="15" t="str">
        <x:v>Splunk</x:v>
      </x:c>
      <x:c r="B47" s="15" t="str">
        <x:v>Access</x:v>
      </x:c>
      <x:c r="C47" s="15" t="str">
        <x:v>Validate login to Splunk</x:v>
      </x:c>
      <x:c r="D47" s="15" t="str">
        <x:v>Non-Prod/Prod</x:v>
      </x:c>
      <x:c r="E47" s="15" t="str">
        <x:v>CVIS</x:v>
      </x:c>
      <x:c r="F47" s="15" t="str">
        <x:v>DEP-007</x:v>
      </x:c>
      <x:c r="G47" s="15" t="str"/>
      <x:c r="H47" s="15" t="str">
        <x:v>To do</x:v>
      </x:c>
      <x:c r="I47" s="23" t="n">
        <x:v>4</x:v>
      </x:c>
      <x:c r="J47" s="23" t="n">
        <x:v>0.5</x:v>
      </x:c>
      <x:c r="K47" s="23" t="n">
        <x:v>1</x:v>
      </x:c>
      <x:c r="L47" s="15" t="str"/>
    </x:row>
    <x:row r="48">
      <x:c r="A48" s="15" t="str">
        <x:v>Splunk</x:v>
      </x:c>
      <x:c r="B48" s="15" t="str">
        <x:v>Setup</x:v>
      </x:c>
      <x:c r="C48" s="15" t="str">
        <x:v>Configure user profile</x:v>
      </x:c>
      <x:c r="D48" s="15" t="str">
        <x:v>Non-Prod/Prod</x:v>
      </x:c>
      <x:c r="E48" s="15" t="str">
        <x:v>CVIS</x:v>
      </x:c>
      <x:c r="F48" s="15" t="str">
        <x:v>DEP-007</x:v>
      </x:c>
      <x:c r="G48" s="15" t="str"/>
      <x:c r="H48" s="15" t="str">
        <x:v>To do</x:v>
      </x:c>
      <x:c r="I48" s="23" t="n">
        <x:v>14</x:v>
      </x:c>
      <x:c r="J48" s="23" t="n">
        <x:v>0.5</x:v>
      </x:c>
      <x:c r="K48" s="23" t="n">
        <x:v>1</x:v>
      </x:c>
      <x:c r="L48" s="15" t="str"/>
    </x:row>
    <x:row r="49">
      <x:c r="A49" s="15" t="str">
        <x:v>Splunk</x:v>
      </x:c>
      <x:c r="B49" s="15" t="str">
        <x:v>Setup</x:v>
      </x:c>
      <x:c r="C49" s="15" t="str">
        <x:v>Configure role permissions</x:v>
      </x:c>
      <x:c r="D49" s="15" t="str">
        <x:v>Non-Prod/Prod</x:v>
      </x:c>
      <x:c r="E49" s="15" t="str">
        <x:v>CVIS / Splunk Team</x:v>
      </x:c>
      <x:c r="F49" s="15" t="str">
        <x:v>DEP-007</x:v>
      </x:c>
      <x:c r="G49" s="15" t="str"/>
      <x:c r="H49" s="15" t="str">
        <x:v>To do</x:v>
      </x:c>
      <x:c r="I49" s="23" t="n">
        <x:v>14</x:v>
      </x:c>
      <x:c r="J49" s="23" t="n">
        <x:v>0.5</x:v>
      </x:c>
      <x:c r="K49" s="23" t="n">
        <x:v>1</x:v>
      </x:c>
      <x:c r="L49" s="15" t="str"/>
    </x:row>
    <x:row r="50">
      <x:c r="A50" s="15" t="str">
        <x:v>Splunk</x:v>
      </x:c>
      <x:c r="B50" s="15" t="str">
        <x:v>Setup</x:v>
      </x:c>
      <x:c r="C50" s="15" t="str">
        <x:v>Verify search capability</x:v>
      </x:c>
      <x:c r="D50" s="15" t="str">
        <x:v>Non-Prod/Prod</x:v>
      </x:c>
      <x:c r="E50" s="15" t="str">
        <x:v>CVIS</x:v>
      </x:c>
      <x:c r="F50" s="15" t="str">
        <x:v>DEP-007</x:v>
      </x:c>
      <x:c r="G50" s="15" t="str"/>
      <x:c r="H50" s="15" t="str">
        <x:v>To do</x:v>
      </x:c>
      <x:c r="I50" s="23" t="n">
        <x:v>14</x:v>
      </x:c>
      <x:c r="J50" s="23" t="n">
        <x:v>0.5</x:v>
      </x:c>
      <x:c r="K50" s="23" t="n">
        <x:v>1</x:v>
      </x:c>
      <x:c r="L50" s="15" t="str"/>
    </x:row>
    <x:row r="51">
      <x:c r="A51" s="15" t="str">
        <x:v>Splunk</x:v>
      </x:c>
      <x:c r="B51" s="15" t="str">
        <x:v>Setup</x:v>
      </x:c>
      <x:c r="C51" s="15" t="str">
        <x:v>Create test search</x:v>
      </x:c>
      <x:c r="D51" s="15" t="str">
        <x:v>Non-Prod</x:v>
      </x:c>
      <x:c r="E51" s="15" t="str">
        <x:v>CVIS</x:v>
      </x:c>
      <x:c r="F51" s="15" t="str">
        <x:v>DEP-007</x:v>
      </x:c>
      <x:c r="G51" s="15" t="str"/>
      <x:c r="H51" s="15" t="str">
        <x:v>To do</x:v>
      </x:c>
      <x:c r="I51" s="23" t="n">
        <x:v>14</x:v>
      </x:c>
      <x:c r="J51" s="23" t="n">
        <x:v>0.5</x:v>
      </x:c>
      <x:c r="K51" s="23" t="n">
        <x:v>1</x:v>
      </x:c>
      <x:c r="L51" s="15" t="str"/>
    </x:row>
    <x:row r="52">
      <x:c r="A52" s="15" t="str">
        <x:v>Splunk</x:v>
      </x:c>
      <x:c r="B52" s="15" t="str">
        <x:v>Setup</x:v>
      </x:c>
      <x:c r="C52" s="15" t="str">
        <x:v>Create dashboard workspace</x:v>
      </x:c>
      <x:c r="D52" s="15" t="str">
        <x:v>Non-Prod</x:v>
      </x:c>
      <x:c r="E52" s="15" t="str">
        <x:v>CVIS</x:v>
      </x:c>
      <x:c r="F52" s="15" t="str">
        <x:v>DEP-007</x:v>
      </x:c>
      <x:c r="G52" s="15" t="str"/>
      <x:c r="H52" s="15" t="str">
        <x:v>To do</x:v>
      </x:c>
      <x:c r="I52" s="23" t="n">
        <x:v>14</x:v>
      </x:c>
      <x:c r="J52" s="23" t="n">
        <x:v>0.5</x:v>
      </x:c>
      <x:c r="K52" s="23" t="n">
        <x:v>1</x:v>
      </x:c>
      <x:c r="L52" s="15" t="str"/>
    </x:row>
    <x:row r="53">
      <x:c r="A53" s="15" t="str">
        <x:v>Splunk</x:v>
      </x:c>
      <x:c r="B53" s="15" t="str">
        <x:v>Setup</x:v>
      </x:c>
      <x:c r="C53" s="15" t="str">
        <x:v>Validate data visibility</x:v>
      </x:c>
      <x:c r="D53" s="15" t="str">
        <x:v>Non-Prod/Prod</x:v>
      </x:c>
      <x:c r="E53" s="15" t="str">
        <x:v>CVIS</x:v>
      </x:c>
      <x:c r="F53" s="15" t="str">
        <x:v>DEP-007</x:v>
      </x:c>
      <x:c r="G53" s="15" t="str"/>
      <x:c r="H53" s="15" t="str">
        <x:v>To do</x:v>
      </x:c>
      <x:c r="I53" s="23" t="n">
        <x:v>14</x:v>
      </x:c>
      <x:c r="J53" s="23" t="n">
        <x:v>0.5</x:v>
      </x:c>
      <x:c r="K53" s="23" t="n">
        <x:v>1</x:v>
      </x:c>
      <x:c r="L53" s="15" t="str"/>
    </x:row>
    <x:row r="54">
      <x:c r="A54" s="15" t="str">
        <x:v>Splunk</x:v>
      </x:c>
      <x:c r="B54" s="15" t="str">
        <x:v>Setup</x:v>
      </x:c>
      <x:c r="C54" s="15" t="str">
        <x:v>Validate alert creation permissions</x:v>
      </x:c>
      <x:c r="D54" s="15" t="str">
        <x:v>Non-Prod/Prod</x:v>
      </x:c>
      <x:c r="E54" s="15" t="str">
        <x:v>CVIS / Splunk Team</x:v>
      </x:c>
      <x:c r="F54" s="15" t="str">
        <x:v>DEP-007</x:v>
      </x:c>
      <x:c r="G54" s="15" t="str"/>
      <x:c r="H54" s="15" t="str">
        <x:v>To do</x:v>
      </x:c>
      <x:c r="I54" s="23" t="n">
        <x:v>14</x:v>
      </x:c>
      <x:c r="J54" s="23" t="n">
        <x:v>0.5</x:v>
      </x:c>
      <x:c r="K54" s="23" t="n">
        <x:v>1</x:v>
      </x:c>
      <x:c r="L54" s="15" t="str"/>
    </x:row>
    <x:row r="55">
      <x:c r="A55" s="15" t="str">
        <x:v>Splunk</x:v>
      </x:c>
      <x:c r="B55" s="15" t="str">
        <x:v>Setup</x:v>
      </x:c>
      <x:c r="C55" s="15" t="str">
        <x:v>Document commonly used indexes and searches</x:v>
      </x:c>
      <x:c r="D55" s="15" t="str">
        <x:v>Non-Prod/Prod</x:v>
      </x:c>
      <x:c r="E55" s="15" t="str">
        <x:v>CVIS</x:v>
      </x:c>
      <x:c r="F55" s="15" t="str">
        <x:v>DEP-007</x:v>
      </x:c>
      <x:c r="G55" s="15" t="str"/>
      <x:c r="H55" s="15" t="str">
        <x:v>To do</x:v>
      </x:c>
      <x:c r="I55" s="23" t="n">
        <x:v>14</x:v>
      </x:c>
      <x:c r="J55" s="23" t="n">
        <x:v>0.5</x:v>
      </x:c>
      <x:c r="K55" s="23" t="n">
        <x:v>1</x:v>
      </x:c>
      <x:c r="L55" s="15" t="str"/>
    </x:row>
    <x:row r="56">
      <x:c r="A56" s="15" t="str">
        <x:v>Harness</x:v>
      </x:c>
      <x:c r="B56" s="15" t="str">
        <x:v>Access</x:v>
      </x:c>
      <x:c r="C56" s="15" t="str">
        <x:v>Identify application/project in Harness</x:v>
      </x:c>
      <x:c r="D56" s="15" t="str">
        <x:v>Non-Prod</x:v>
      </x:c>
      <x:c r="E56" s="15" t="str">
        <x:v>CVIS / Harness Team</x:v>
      </x:c>
      <x:c r="F56" s="15" t="str">
        <x:v>DEP-008</x:v>
      </x:c>
      <x:c r="G56" s="15" t="str"/>
      <x:c r="H56" s="15" t="str">
        <x:v>To do</x:v>
      </x:c>
      <x:c r="I56" s="23" t="n">
        <x:v>2</x:v>
      </x:c>
      <x:c r="J56" s="23" t="n">
        <x:v>0.5</x:v>
      </x:c>
      <x:c r="K56" s="23" t="n">
        <x:v>1</x:v>
      </x:c>
      <x:c r="L56" s="15" t="str"/>
    </x:row>
    <x:row r="57">
      <x:c r="A57" s="15" t="str">
        <x:v>Harness</x:v>
      </x:c>
      <x:c r="B57" s="15" t="str">
        <x:v>Access</x:v>
      </x:c>
      <x:c r="C57" s="15" t="str">
        <x:v>Request access through AIMS or project owner</x:v>
      </x:c>
      <x:c r="D57" s="15" t="str">
        <x:v>Non-Prod</x:v>
      </x:c>
      <x:c r="E57" s="15" t="str">
        <x:v>CVIS / Harness Team</x:v>
      </x:c>
      <x:c r="F57" s="15" t="str">
        <x:v>DEP-008</x:v>
      </x:c>
      <x:c r="G57" s="15" t="str"/>
      <x:c r="H57" s="15" t="str">
        <x:v>To do</x:v>
      </x:c>
      <x:c r="I57" s="23" t="n">
        <x:v>2</x:v>
      </x:c>
      <x:c r="J57" s="23" t="n">
        <x:v>0.5</x:v>
      </x:c>
      <x:c r="K57" s="23" t="n">
        <x:v>2</x:v>
      </x:c>
      <x:c r="L57" s="15" t="str"/>
    </x:row>
    <x:row r="58">
      <x:c r="A58" s="15" t="str">
        <x:v>Harness</x:v>
      </x:c>
      <x:c r="B58" s="15" t="str">
        <x:v>Access</x:v>
      </x:c>
      <x:c r="C58" s="15" t="str">
        <x:v>Request appropriate role</x:v>
      </x:c>
      <x:c r="D58" s="15" t="str">
        <x:v>Non-Prod</x:v>
      </x:c>
      <x:c r="E58" s="15" t="str">
        <x:v>CVIS / Harness Team</x:v>
      </x:c>
      <x:c r="F58" s="15" t="str">
        <x:v>DEP-008</x:v>
      </x:c>
      <x:c r="G58" s="15" t="str"/>
      <x:c r="H58" s="15" t="str">
        <x:v>To do</x:v>
      </x:c>
      <x:c r="I58" s="23" t="n">
        <x:v>2</x:v>
      </x:c>
      <x:c r="J58" s="23" t="n">
        <x:v>0.5</x:v>
      </x:c>
      <x:c r="K58" s="23" t="n">
        <x:v>2</x:v>
      </x:c>
      <x:c r="L58" s="15" t="str">
        <x:v>Read / Contributor / Admin</x:v>
      </x:c>
    </x:row>
    <x:row r="59">
      <x:c r="A59" s="15" t="str">
        <x:v>Harness</x:v>
      </x:c>
      <x:c r="B59" s="15" t="str">
        <x:v>Access</x:v>
      </x:c>
      <x:c r="C59" s="15" t="str">
        <x:v>Verify successful login</x:v>
      </x:c>
      <x:c r="D59" s="15" t="str">
        <x:v>Non-Prod</x:v>
      </x:c>
      <x:c r="E59" s="15" t="str">
        <x:v>CVIS</x:v>
      </x:c>
      <x:c r="F59" s="15" t="str">
        <x:v>DEP-008</x:v>
      </x:c>
      <x:c r="G59" s="15" t="str"/>
      <x:c r="H59" s="15" t="str">
        <x:v>To do</x:v>
      </x:c>
      <x:c r="I59" s="23" t="n">
        <x:v>2</x:v>
      </x:c>
      <x:c r="J59" s="23" t="n">
        <x:v>0.5</x:v>
      </x:c>
      <x:c r="K59" s="23" t="n">
        <x:v>1</x:v>
      </x:c>
      <x:c r="L59" s="15" t="str"/>
    </x:row>
    <x:row r="60">
      <x:c r="A60" s="15" t="str">
        <x:v>Harness</x:v>
      </x:c>
      <x:c r="B60" s="15" t="str">
        <x:v>Access</x:v>
      </x:c>
      <x:c r="C60" s="15" t="str">
        <x:v>Verify pipeline visibility</x:v>
      </x:c>
      <x:c r="D60" s="15" t="str">
        <x:v>Non-Prod</x:v>
      </x:c>
      <x:c r="E60" s="15" t="str">
        <x:v>CVIS</x:v>
      </x:c>
      <x:c r="F60" s="15" t="str">
        <x:v>DEP-008</x:v>
      </x:c>
      <x:c r="G60" s="15" t="str"/>
      <x:c r="H60" s="15" t="str">
        <x:v>To do</x:v>
      </x:c>
      <x:c r="I60" s="23" t="n">
        <x:v>2</x:v>
      </x:c>
      <x:c r="J60" s="23" t="n">
        <x:v>0.5</x:v>
      </x:c>
      <x:c r="K60" s="23" t="n">
        <x:v>1</x:v>
      </x:c>
      <x:c r="L60" s="15" t="str"/>
    </x:row>
    <x:row r="61">
      <x:c r="A61" s="15" t="str">
        <x:v>Harness</x:v>
      </x:c>
      <x:c r="B61" s="15" t="str">
        <x:v>Setup</x:v>
      </x:c>
      <x:c r="C61" s="15" t="str">
        <x:v>Configure user profile</x:v>
      </x:c>
      <x:c r="D61" s="15" t="str">
        <x:v>Non-Prod</x:v>
      </x:c>
      <x:c r="E61" s="15" t="str">
        <x:v>CVIS</x:v>
      </x:c>
      <x:c r="F61" s="15" t="str">
        <x:v>DEP-008</x:v>
      </x:c>
      <x:c r="G61" s="15" t="str"/>
      <x:c r="H61" s="15" t="str">
        <x:v>To do</x:v>
      </x:c>
      <x:c r="I61" s="23" t="n">
        <x:v>15</x:v>
      </x:c>
      <x:c r="J61" s="23" t="n">
        <x:v>0.5</x:v>
      </x:c>
      <x:c r="K61" s="23" t="n">
        <x:v>1</x:v>
      </x:c>
      <x:c r="L61" s="15" t="str"/>
    </x:row>
    <x:row r="62">
      <x:c r="A62" s="15" t="str">
        <x:v>Harness</x:v>
      </x:c>
      <x:c r="B62" s="15" t="str">
        <x:v>Setup</x:v>
      </x:c>
      <x:c r="C62" s="15" t="str">
        <x:v>Connect source control repository</x:v>
      </x:c>
      <x:c r="D62" s="15" t="str">
        <x:v>Non-Prod</x:v>
      </x:c>
      <x:c r="E62" s="15" t="str">
        <x:v>CVIS / Harness Team</x:v>
      </x:c>
      <x:c r="F62" s="15" t="str">
        <x:v>DEP-008</x:v>
      </x:c>
      <x:c r="G62" s="15" t="str"/>
      <x:c r="H62" s="15" t="str">
        <x:v>To do</x:v>
      </x:c>
      <x:c r="I62" s="23" t="n">
        <x:v>15</x:v>
      </x:c>
      <x:c r="J62" s="23" t="n">
        <x:v>0.5</x:v>
      </x:c>
      <x:c r="K62" s="23" t="n">
        <x:v>1</x:v>
      </x:c>
      <x:c r="L62" s="15" t="str"/>
    </x:row>
    <x:row r="63">
      <x:c r="A63" s="15" t="str">
        <x:v>Harness</x:v>
      </x:c>
      <x:c r="B63" s="15" t="str">
        <x:v>Setup</x:v>
      </x:c>
      <x:c r="C63" s="15" t="str">
        <x:v>Configure secret access</x:v>
      </x:c>
      <x:c r="D63" s="15" t="str">
        <x:v>Non-Prod</x:v>
      </x:c>
      <x:c r="E63" s="15" t="str">
        <x:v>CVIS / Harness Team</x:v>
      </x:c>
      <x:c r="F63" s="15" t="str">
        <x:v>DEP-008</x:v>
      </x:c>
      <x:c r="G63" s="15" t="str"/>
      <x:c r="H63" s="15" t="str">
        <x:v>To do</x:v>
      </x:c>
      <x:c r="I63" s="23" t="n">
        <x:v>15</x:v>
      </x:c>
      <x:c r="J63" s="23" t="n">
        <x:v>0.5</x:v>
      </x:c>
      <x:c r="K63" s="23" t="n">
        <x:v>1</x:v>
      </x:c>
      <x:c r="L63" s="15" t="str"/>
    </x:row>
    <x:row r="64">
      <x:c r="A64" s="15" t="str">
        <x:v>Harness</x:v>
      </x:c>
      <x:c r="B64" s="15" t="str">
        <x:v>Setup</x:v>
      </x:c>
      <x:c r="C64" s="15" t="str">
        <x:v>Verify environment access</x:v>
      </x:c>
      <x:c r="D64" s="15" t="str">
        <x:v>Non-Prod</x:v>
      </x:c>
      <x:c r="E64" s="15" t="str">
        <x:v>CVIS</x:v>
      </x:c>
      <x:c r="F64" s="15" t="str">
        <x:v>DEP-008</x:v>
      </x:c>
      <x:c r="G64" s="15" t="str"/>
      <x:c r="H64" s="15" t="str">
        <x:v>To do</x:v>
      </x:c>
      <x:c r="I64" s="23" t="n">
        <x:v>15</x:v>
      </x:c>
      <x:c r="J64" s="23" t="n">
        <x:v>0.5</x:v>
      </x:c>
      <x:c r="K64" s="23" t="n">
        <x:v>1</x:v>
      </x:c>
      <x:c r="L64" s="15" t="str"/>
    </x:row>
    <x:row r="65">
      <x:c r="A65" s="15" t="str">
        <x:v>Harness</x:v>
      </x:c>
      <x:c r="B65" s="15" t="str">
        <x:v>Setup</x:v>
      </x:c>
      <x:c r="C65" s="15" t="str">
        <x:v>Verify deployment permissions</x:v>
      </x:c>
      <x:c r="D65" s="15" t="str">
        <x:v>Non-Prod</x:v>
      </x:c>
      <x:c r="E65" s="15" t="str">
        <x:v>CVIS / Harness Team</x:v>
      </x:c>
      <x:c r="F65" s="15" t="str">
        <x:v>DEP-008</x:v>
      </x:c>
      <x:c r="G65" s="15" t="str"/>
      <x:c r="H65" s="15" t="str">
        <x:v>To do</x:v>
      </x:c>
      <x:c r="I65" s="23" t="n">
        <x:v>15</x:v>
      </x:c>
      <x:c r="J65" s="23" t="n">
        <x:v>0.5</x:v>
      </x:c>
      <x:c r="K65" s="23" t="n">
        <x:v>1</x:v>
      </x:c>
      <x:c r="L65" s="15" t="str"/>
    </x:row>
    <x:row r="66">
      <x:c r="A66" s="15" t="str">
        <x:v>Harness</x:v>
      </x:c>
      <x:c r="B66" s="15" t="str">
        <x:v>Setup</x:v>
      </x:c>
      <x:c r="C66" s="15" t="str">
        <x:v>Execute test pipeline</x:v>
      </x:c>
      <x:c r="D66" s="15" t="str">
        <x:v>Non-Prod</x:v>
      </x:c>
      <x:c r="E66" s="15" t="str">
        <x:v>CVIS</x:v>
      </x:c>
      <x:c r="F66" s="15" t="str">
        <x:v>DEP-008</x:v>
      </x:c>
      <x:c r="G66" s="15" t="str"/>
      <x:c r="H66" s="15" t="str">
        <x:v>To do</x:v>
      </x:c>
      <x:c r="I66" s="23" t="n">
        <x:v>15</x:v>
      </x:c>
      <x:c r="J66" s="23" t="n">
        <x:v>0.5</x:v>
      </x:c>
      <x:c r="K66" s="23" t="n">
        <x:v>1</x:v>
      </x:c>
      <x:c r="L66" s="15" t="str"/>
    </x:row>
    <x:row r="67">
      <x:c r="A67" s="15" t="str">
        <x:v>Harness</x:v>
      </x:c>
      <x:c r="B67" s="15" t="str">
        <x:v>Setup</x:v>
      </x:c>
      <x:c r="C67" s="15" t="str">
        <x:v>Document deployment workflow</x:v>
      </x:c>
      <x:c r="D67" s="15" t="str">
        <x:v>Non-Prod</x:v>
      </x:c>
      <x:c r="E67" s="15" t="str">
        <x:v>CVIS</x:v>
      </x:c>
      <x:c r="F67" s="15" t="str">
        <x:v>DEP-008</x:v>
      </x:c>
      <x:c r="G67" s="15" t="str"/>
      <x:c r="H67" s="15" t="str">
        <x:v>To do</x:v>
      </x:c>
      <x:c r="I67" s="23" t="n">
        <x:v>15</x:v>
      </x:c>
      <x:c r="J67" s="23" t="n">
        <x:v>0.5</x:v>
      </x:c>
      <x:c r="K67" s="23" t="n">
        <x:v>1</x:v>
      </x:c>
      <x:c r="L67" s="15" t="str"/>
    </x:row>
    <x:row r="68">
      <x:c r="A68" s="15" t="str">
        <x:v>Apigee</x:v>
      </x:c>
      <x:c r="B68" s="15" t="str">
        <x:v>Access</x:v>
      </x:c>
      <x:c r="C68" s="15" t="str">
        <x:v>Identify required Apigee organization</x:v>
      </x:c>
      <x:c r="D68" s="15" t="str">
        <x:v>Non-Prod/Prod</x:v>
      </x:c>
      <x:c r="E68" s="15" t="str">
        <x:v>CVIS / API Team</x:v>
      </x:c>
      <x:c r="F68" s="15" t="str">
        <x:v>DEP-002</x:v>
      </x:c>
      <x:c r="G68" s="15" t="str"/>
      <x:c r="H68" s="15" t="str">
        <x:v>To do</x:v>
      </x:c>
      <x:c r="I68" s="23" t="n">
        <x:v>6</x:v>
      </x:c>
      <x:c r="J68" s="23" t="n">
        <x:v>0.5</x:v>
      </x:c>
      <x:c r="K68" s="23" t="n">
        <x:v>1</x:v>
      </x:c>
      <x:c r="L68" s="15" t="str"/>
    </x:row>
    <x:row r="69">
      <x:c r="A69" s="15" t="str">
        <x:v>Apigee</x:v>
      </x:c>
      <x:c r="B69" s="15" t="str">
        <x:v>Access</x:v>
      </x:c>
      <x:c r="C69" s="15" t="str">
        <x:v>Request developer access</x:v>
      </x:c>
      <x:c r="D69" s="15" t="str">
        <x:v>Non-Prod/Prod</x:v>
      </x:c>
      <x:c r="E69" s="15" t="str">
        <x:v>CVIS / API Team</x:v>
      </x:c>
      <x:c r="F69" s="15" t="str">
        <x:v>DEP-002</x:v>
      </x:c>
      <x:c r="G69" s="15" t="str"/>
      <x:c r="H69" s="15" t="str">
        <x:v>To do</x:v>
      </x:c>
      <x:c r="I69" s="23" t="n">
        <x:v>6</x:v>
      </x:c>
      <x:c r="J69" s="23" t="n">
        <x:v>0.5</x:v>
      </x:c>
      <x:c r="K69" s="23" t="n">
        <x:v>2</x:v>
      </x:c>
      <x:c r="L69" s="15" t="str"/>
    </x:row>
    <x:row r="70">
      <x:c r="A70" s="15" t="str">
        <x:v>Apigee</x:v>
      </x:c>
      <x:c r="B70" s="15" t="str">
        <x:v>Access</x:v>
      </x:c>
      <x:c r="C70" s="15" t="str">
        <x:v>Request API product permissions</x:v>
      </x:c>
      <x:c r="D70" s="15" t="str">
        <x:v>Non-Prod/Prod</x:v>
      </x:c>
      <x:c r="E70" s="15" t="str">
        <x:v>CVIS / API Team</x:v>
      </x:c>
      <x:c r="F70" s="15" t="str">
        <x:v>DEP-002</x:v>
      </x:c>
      <x:c r="G70" s="15" t="str"/>
      <x:c r="H70" s="15" t="str">
        <x:v>To do</x:v>
      </x:c>
      <x:c r="I70" s="23" t="n">
        <x:v>6</x:v>
      </x:c>
      <x:c r="J70" s="23" t="n">
        <x:v>0.5</x:v>
      </x:c>
      <x:c r="K70" s="23" t="n">
        <x:v>2</x:v>
      </x:c>
      <x:c r="L70" s="15" t="str"/>
    </x:row>
    <x:row r="71">
      <x:c r="A71" s="15" t="str">
        <x:v>Apigee</x:v>
      </x:c>
      <x:c r="B71" s="15" t="str">
        <x:v>Access</x:v>
      </x:c>
      <x:c r="C71" s="15" t="str">
        <x:v>Verify portal access</x:v>
      </x:c>
      <x:c r="D71" s="15" t="str">
        <x:v>Non-Prod/Prod</x:v>
      </x:c>
      <x:c r="E71" s="15" t="str">
        <x:v>CVIS</x:v>
      </x:c>
      <x:c r="F71" s="15" t="str">
        <x:v>DEP-002</x:v>
      </x:c>
      <x:c r="G71" s="15" t="str"/>
      <x:c r="H71" s="15" t="str">
        <x:v>To do</x:v>
      </x:c>
      <x:c r="I71" s="23" t="n">
        <x:v>6</x:v>
      </x:c>
      <x:c r="J71" s="23" t="n">
        <x:v>0.5</x:v>
      </x:c>
      <x:c r="K71" s="23" t="n">
        <x:v>1</x:v>
      </x:c>
      <x:c r="L71" s="15" t="str"/>
    </x:row>
    <x:row r="72">
      <x:c r="A72" s="15" t="str">
        <x:v>Apigee</x:v>
      </x:c>
      <x:c r="B72" s="15" t="str">
        <x:v>Access</x:v>
      </x:c>
      <x:c r="C72" s="15" t="str">
        <x:v>Verify API deployment visibility</x:v>
      </x:c>
      <x:c r="D72" s="15" t="str">
        <x:v>Non-Prod/Prod</x:v>
      </x:c>
      <x:c r="E72" s="15" t="str">
        <x:v>CVIS / API Team</x:v>
      </x:c>
      <x:c r="F72" s="15" t="str">
        <x:v>DEP-002</x:v>
      </x:c>
      <x:c r="G72" s="15" t="str"/>
      <x:c r="H72" s="15" t="str">
        <x:v>To do</x:v>
      </x:c>
      <x:c r="I72" s="23" t="n">
        <x:v>6</x:v>
      </x:c>
      <x:c r="J72" s="23" t="n">
        <x:v>0.5</x:v>
      </x:c>
      <x:c r="K72" s="23" t="n">
        <x:v>1</x:v>
      </x:c>
      <x:c r="L72" s="15" t="str"/>
    </x:row>
    <x:row r="73">
      <x:c r="A73" s="15" t="str">
        <x:v>Apigee</x:v>
      </x:c>
      <x:c r="B73" s="15" t="str">
        <x:v>Setup</x:v>
      </x:c>
      <x:c r="C73" s="15" t="str">
        <x:v>Configure developer profile</x:v>
      </x:c>
      <x:c r="D73" s="15" t="str">
        <x:v>Non-Prod/Prod</x:v>
      </x:c>
      <x:c r="E73" s="15" t="str">
        <x:v>CVIS</x:v>
      </x:c>
      <x:c r="F73" s="15" t="str">
        <x:v>DEP-002</x:v>
      </x:c>
      <x:c r="G73" s="15" t="str"/>
      <x:c r="H73" s="15" t="str">
        <x:v>To do</x:v>
      </x:c>
      <x:c r="I73" s="23" t="n">
        <x:v>16</x:v>
      </x:c>
      <x:c r="J73" s="23" t="n">
        <x:v>0.5</x:v>
      </x:c>
      <x:c r="K73" s="23" t="n">
        <x:v>1</x:v>
      </x:c>
      <x:c r="L73" s="15" t="str"/>
    </x:row>
    <x:row r="74">
      <x:c r="A74" s="15" t="str">
        <x:v>Apigee</x:v>
      </x:c>
      <x:c r="B74" s="15" t="str">
        <x:v>Setup</x:v>
      </x:c>
      <x:c r="C74" s="15" t="str">
        <x:v>Install required Apigee tooling</x:v>
      </x:c>
      <x:c r="D74" s="15" t="str">
        <x:v>DEV</x:v>
      </x:c>
      <x:c r="E74" s="15" t="str">
        <x:v>CVIS</x:v>
      </x:c>
      <x:c r="F74" s="15" t="str">
        <x:v>DEP-002</x:v>
      </x:c>
      <x:c r="G74" s="15" t="str"/>
      <x:c r="H74" s="15" t="str">
        <x:v>To do</x:v>
      </x:c>
      <x:c r="I74" s="23" t="n">
        <x:v>16</x:v>
      </x:c>
      <x:c r="J74" s="23" t="n">
        <x:v>0.5</x:v>
      </x:c>
      <x:c r="K74" s="23" t="n">
        <x:v>1</x:v>
      </x:c>
      <x:c r="L74" s="15" t="str"/>
    </x:row>
    <x:row r="75">
      <x:c r="A75" s="15" t="str">
        <x:v>Apigee</x:v>
      </x:c>
      <x:c r="B75" s="15" t="str">
        <x:v>Setup</x:v>
      </x:c>
      <x:c r="C75" s="15" t="str">
        <x:v>Configure authentication</x:v>
      </x:c>
      <x:c r="D75" s="15" t="str">
        <x:v>DEV</x:v>
      </x:c>
      <x:c r="E75" s="15" t="str">
        <x:v>CVIS / API Team</x:v>
      </x:c>
      <x:c r="F75" s="15" t="str">
        <x:v>DEP-002</x:v>
      </x:c>
      <x:c r="G75" s="15" t="str"/>
      <x:c r="H75" s="15" t="str">
        <x:v>To do</x:v>
      </x:c>
      <x:c r="I75" s="23" t="n">
        <x:v>16</x:v>
      </x:c>
      <x:c r="J75" s="23" t="n">
        <x:v>0.5</x:v>
      </x:c>
      <x:c r="K75" s="23" t="n">
        <x:v>1</x:v>
      </x:c>
      <x:c r="L75" s="15" t="str"/>
    </x:row>
    <x:row r="76">
      <x:c r="A76" s="15" t="str">
        <x:v>Apigee</x:v>
      </x:c>
      <x:c r="B76" s="15" t="str">
        <x:v>Setup</x:v>
      </x:c>
      <x:c r="C76" s="15" t="str">
        <x:v>Validate API proxy visibility</x:v>
      </x:c>
      <x:c r="D76" s="15" t="str">
        <x:v>Non-Prod</x:v>
      </x:c>
      <x:c r="E76" s="15" t="str">
        <x:v>CVIS / API Team</x:v>
      </x:c>
      <x:c r="F76" s="15" t="str">
        <x:v>DEP-002</x:v>
      </x:c>
      <x:c r="G76" s="15" t="str"/>
      <x:c r="H76" s="15" t="str">
        <x:v>To do</x:v>
      </x:c>
      <x:c r="I76" s="23" t="n">
        <x:v>16</x:v>
      </x:c>
      <x:c r="J76" s="23" t="n">
        <x:v>0.5</x:v>
      </x:c>
      <x:c r="K76" s="23" t="n">
        <x:v>1</x:v>
      </x:c>
      <x:c r="L76" s="15" t="str"/>
    </x:row>
    <x:row r="77">
      <x:c r="A77" s="15" t="str">
        <x:v>Apigee</x:v>
      </x:c>
      <x:c r="B77" s="15" t="str">
        <x:v>Setup</x:v>
      </x:c>
      <x:c r="C77" s="15" t="str">
        <x:v>Execute test API call</x:v>
      </x:c>
      <x:c r="D77" s="15" t="str">
        <x:v>Non-Prod</x:v>
      </x:c>
      <x:c r="E77" s="15" t="str">
        <x:v>CVIS</x:v>
      </x:c>
      <x:c r="F77" s="15" t="str">
        <x:v>DEP-002</x:v>
      </x:c>
      <x:c r="G77" s="15" t="str"/>
      <x:c r="H77" s="15" t="str">
        <x:v>To do</x:v>
      </x:c>
      <x:c r="I77" s="23" t="n">
        <x:v>16</x:v>
      </x:c>
      <x:c r="J77" s="23" t="n">
        <x:v>0.5</x:v>
      </x:c>
      <x:c r="K77" s="23" t="n">
        <x:v>1</x:v>
      </x:c>
      <x:c r="L77" s="15" t="str"/>
    </x:row>
    <x:row r="78">
      <x:c r="A78" s="15" t="str">
        <x:v>Apigee</x:v>
      </x:c>
      <x:c r="B78" s="15" t="str">
        <x:v>Setup</x:v>
      </x:c>
      <x:c r="C78" s="15" t="str">
        <x:v>Validate logging and analytics access</x:v>
      </x:c>
      <x:c r="D78" s="15" t="str">
        <x:v>Non-Prod</x:v>
      </x:c>
      <x:c r="E78" s="15" t="str">
        <x:v>CVIS / API Team</x:v>
      </x:c>
      <x:c r="F78" s="15" t="str">
        <x:v>DEP-002</x:v>
      </x:c>
      <x:c r="G78" s="15" t="str"/>
      <x:c r="H78" s="15" t="str">
        <x:v>To do</x:v>
      </x:c>
      <x:c r="I78" s="23" t="n">
        <x:v>16</x:v>
      </x:c>
      <x:c r="J78" s="23" t="n">
        <x:v>0.5</x:v>
      </x:c>
      <x:c r="K78" s="23" t="n">
        <x:v>1</x:v>
      </x:c>
      <x:c r="L78" s="15" t="str"/>
    </x:row>
    <x:row r="79">
      <x:c r="A79" s="15" t="str">
        <x:v>Apigee</x:v>
      </x:c>
      <x:c r="B79" s="15" t="str">
        <x:v>Setup</x:v>
      </x:c>
      <x:c r="C79" s="15" t="str">
        <x:v>Document API onboarding process</x:v>
      </x:c>
      <x:c r="D79" s="15" t="str">
        <x:v>Non-Prod</x:v>
      </x:c>
      <x:c r="E79" s="15" t="str">
        <x:v>CVIS</x:v>
      </x:c>
      <x:c r="F79" s="15" t="str">
        <x:v>DEP-002</x:v>
      </x:c>
      <x:c r="G79" s="15" t="str"/>
      <x:c r="H79" s="15" t="str">
        <x:v>To do</x:v>
      </x:c>
      <x:c r="I79" s="23" t="n">
        <x:v>16</x:v>
      </x:c>
      <x:c r="J79" s="23" t="n">
        <x:v>0.5</x:v>
      </x:c>
      <x:c r="K79" s="23" t="n">
        <x:v>1</x:v>
      </x:c>
      <x:c r="L79" s="15" t="str"/>
    </x:row>
    <x:row r="80">
      <x:c r="A80" s="15" t="str">
        <x:v>CyberArk DEV</x:v>
      </x:c>
      <x:c r="B80" s="15" t="str">
        <x:v>Access</x:v>
      </x:c>
      <x:c r="C80" s="15" t="str">
        <x:v>Request CyberArk DEV access</x:v>
      </x:c>
      <x:c r="D80" s="15" t="str">
        <x:v>DEV</x:v>
      </x:c>
      <x:c r="E80" s="15" t="str">
        <x:v>CVIS / CyberArk Team</x:v>
      </x:c>
      <x:c r="F80" s="15" t="str">
        <x:v>DEP-010</x:v>
      </x:c>
      <x:c r="G80" s="15" t="str"/>
      <x:c r="H80" s="15" t="str">
        <x:v>To do</x:v>
      </x:c>
      <x:c r="I80" s="23" t="n">
        <x:v>7</x:v>
      </x:c>
      <x:c r="J80" s="23" t="n">
        <x:v>0.5</x:v>
      </x:c>
      <x:c r="K80" s="23" t="n">
        <x:v>2</x:v>
      </x:c>
      <x:c r="L80" s="15" t="str"/>
    </x:row>
    <x:row r="81">
      <x:c r="A81" s="15" t="str">
        <x:v>CyberArk DEV</x:v>
      </x:c>
      <x:c r="B81" s="15" t="str">
        <x:v>Access</x:v>
      </x:c>
      <x:c r="C81" s="15" t="str">
        <x:v>Request Vault access</x:v>
      </x:c>
      <x:c r="D81" s="15" t="str">
        <x:v>DEV</x:v>
      </x:c>
      <x:c r="E81" s="15" t="str">
        <x:v>CVIS / CyberArk Team</x:v>
      </x:c>
      <x:c r="F81" s="15" t="str">
        <x:v>DEP-010</x:v>
      </x:c>
      <x:c r="G81" s="15" t="str"/>
      <x:c r="H81" s="15" t="str">
        <x:v>To do</x:v>
      </x:c>
      <x:c r="I81" s="23" t="n">
        <x:v>7</x:v>
      </x:c>
      <x:c r="J81" s="23" t="n">
        <x:v>0.5</x:v>
      </x:c>
      <x:c r="K81" s="23" t="n">
        <x:v>2</x:v>
      </x:c>
      <x:c r="L81" s="15" t="str"/>
    </x:row>
    <x:row r="82">
      <x:c r="A82" s="15" t="str">
        <x:v>CyberArk DEV</x:v>
      </x:c>
      <x:c r="B82" s="15" t="str">
        <x:v>Access</x:v>
      </x:c>
      <x:c r="C82" s="15" t="str">
        <x:v>Request Safe membership</x:v>
      </x:c>
      <x:c r="D82" s="15" t="str">
        <x:v>DEV</x:v>
      </x:c>
      <x:c r="E82" s="15" t="str">
        <x:v>CVIS / CyberArk Team</x:v>
      </x:c>
      <x:c r="F82" s="15" t="str">
        <x:v>DEP-010</x:v>
      </x:c>
      <x:c r="G82" s="15" t="str"/>
      <x:c r="H82" s="15" t="str">
        <x:v>To do</x:v>
      </x:c>
      <x:c r="I82" s="23" t="n">
        <x:v>7</x:v>
      </x:c>
      <x:c r="J82" s="23" t="n">
        <x:v>0.5</x:v>
      </x:c>
      <x:c r="K82" s="23" t="n">
        <x:v>2</x:v>
      </x:c>
      <x:c r="L82" s="15" t="str"/>
    </x:row>
    <x:row r="83">
      <x:c r="A83" s="15" t="str">
        <x:v>CyberArk DEV</x:v>
      </x:c>
      <x:c r="B83" s="15" t="str">
        <x:v>Access</x:v>
      </x:c>
      <x:c r="C83" s="15" t="str">
        <x:v>Verify authentication</x:v>
      </x:c>
      <x:c r="D83" s="15" t="str">
        <x:v>DEV</x:v>
      </x:c>
      <x:c r="E83" s="15" t="str">
        <x:v>CVIS</x:v>
      </x:c>
      <x:c r="F83" s="15" t="str">
        <x:v>DEP-010</x:v>
      </x:c>
      <x:c r="G83" s="15" t="str"/>
      <x:c r="H83" s="15" t="str">
        <x:v>To do</x:v>
      </x:c>
      <x:c r="I83" s="23" t="n">
        <x:v>7</x:v>
      </x:c>
      <x:c r="J83" s="23" t="n">
        <x:v>0.5</x:v>
      </x:c>
      <x:c r="K83" s="23" t="n">
        <x:v>1</x:v>
      </x:c>
      <x:c r="L83" s="15" t="str"/>
    </x:row>
    <x:row r="84">
      <x:c r="A84" s="15" t="str">
        <x:v>CyberArk DEV</x:v>
      </x:c>
      <x:c r="B84" s="15" t="str">
        <x:v>Access</x:v>
      </x:c>
      <x:c r="C84" s="15" t="str">
        <x:v>Validate DEV environment visibility</x:v>
      </x:c>
      <x:c r="D84" s="15" t="str">
        <x:v>DEV</x:v>
      </x:c>
      <x:c r="E84" s="15" t="str">
        <x:v>CVIS</x:v>
      </x:c>
      <x:c r="F84" s="15" t="str">
        <x:v>DEP-010</x:v>
      </x:c>
      <x:c r="G84" s="15" t="str"/>
      <x:c r="H84" s="15" t="str">
        <x:v>To do</x:v>
      </x:c>
      <x:c r="I84" s="23" t="n">
        <x:v>7</x:v>
      </x:c>
      <x:c r="J84" s="23" t="n">
        <x:v>0.5</x:v>
      </x:c>
      <x:c r="K84" s="23" t="n">
        <x:v>1</x:v>
      </x:c>
      <x:c r="L84" s="15" t="str"/>
    </x:row>
    <x:row r="85">
      <x:c r="A85" s="15" t="str">
        <x:v>CyberArk DEV</x:v>
      </x:c>
      <x:c r="B85" s="15" t="str">
        <x:v>Setup</x:v>
      </x:c>
      <x:c r="C85" s="15" t="str">
        <x:v>Create service accounts</x:v>
      </x:c>
      <x:c r="D85" s="15" t="str">
        <x:v>DEV</x:v>
      </x:c>
      <x:c r="E85" s="15" t="str">
        <x:v>CVIS / CyberArk Team</x:v>
      </x:c>
      <x:c r="F85" s="15" t="str">
        <x:v>DEP-010</x:v>
      </x:c>
      <x:c r="G85" s="15" t="str"/>
      <x:c r="H85" s="15" t="str">
        <x:v>To do</x:v>
      </x:c>
      <x:c r="I85" s="23" t="n">
        <x:v>8</x:v>
      </x:c>
      <x:c r="J85" s="23" t="n">
        <x:v>0.5</x:v>
      </x:c>
      <x:c r="K85" s="23" t="n">
        <x:v>2</x:v>
      </x:c>
      <x:c r="L85" s="15" t="str"/>
    </x:row>
    <x:row r="86">
      <x:c r="A86" s="15" t="str">
        <x:v>CyberArk DEV</x:v>
      </x:c>
      <x:c r="B86" s="15" t="str">
        <x:v>Setup</x:v>
      </x:c>
      <x:c r="C86" s="15" t="str">
        <x:v>Create application accounts</x:v>
      </x:c>
      <x:c r="D86" s="15" t="str">
        <x:v>DEV</x:v>
      </x:c>
      <x:c r="E86" s="15" t="str">
        <x:v>CVIS / CyberArk Team</x:v>
      </x:c>
      <x:c r="F86" s="15" t="str">
        <x:v>DEP-010</x:v>
      </x:c>
      <x:c r="G86" s="15" t="str"/>
      <x:c r="H86" s="15" t="str">
        <x:v>To do</x:v>
      </x:c>
      <x:c r="I86" s="23" t="n">
        <x:v>8</x:v>
      </x:c>
      <x:c r="J86" s="23" t="n">
        <x:v>0.5</x:v>
      </x:c>
      <x:c r="K86" s="23" t="n">
        <x:v>2</x:v>
      </x:c>
      <x:c r="L86" s="15" t="str"/>
    </x:row>
    <x:row r="87">
      <x:c r="A87" s="15" t="str">
        <x:v>CyberArk DEV</x:v>
      </x:c>
      <x:c r="B87" s="15" t="str">
        <x:v>Setup</x:v>
      </x:c>
      <x:c r="C87" s="15" t="str">
        <x:v>Assign Safe permissions</x:v>
      </x:c>
      <x:c r="D87" s="15" t="str">
        <x:v>DEV</x:v>
      </x:c>
      <x:c r="E87" s="15" t="str">
        <x:v>CVIS / CyberArk Team</x:v>
      </x:c>
      <x:c r="F87" s="15" t="str">
        <x:v>DEP-010</x:v>
      </x:c>
      <x:c r="G87" s="15" t="str"/>
      <x:c r="H87" s="15" t="str">
        <x:v>To do</x:v>
      </x:c>
      <x:c r="I87" s="23" t="n">
        <x:v>8</x:v>
      </x:c>
      <x:c r="J87" s="23" t="n">
        <x:v>0.5</x:v>
      </x:c>
      <x:c r="K87" s="23" t="n">
        <x:v>1</x:v>
      </x:c>
      <x:c r="L87" s="15" t="str"/>
    </x:row>
    <x:row r="88">
      <x:c r="A88" s="15" t="str">
        <x:v>CyberArk DEV</x:v>
      </x:c>
      <x:c r="B88" s="15" t="str">
        <x:v>Setup</x:v>
      </x:c>
      <x:c r="C88" s="15" t="str">
        <x:v>Configure account ownership</x:v>
      </x:c>
      <x:c r="D88" s="15" t="str">
        <x:v>DEV</x:v>
      </x:c>
      <x:c r="E88" s="15" t="str">
        <x:v>CVIS</x:v>
      </x:c>
      <x:c r="F88" s="15" t="str">
        <x:v>DEP-010</x:v>
      </x:c>
      <x:c r="G88" s="15" t="str"/>
      <x:c r="H88" s="15" t="str">
        <x:v>To do</x:v>
      </x:c>
      <x:c r="I88" s="23" t="n">
        <x:v>8</x:v>
      </x:c>
      <x:c r="J88" s="23" t="n">
        <x:v>0.5</x:v>
      </x:c>
      <x:c r="K88" s="23" t="n">
        <x:v>1</x:v>
      </x:c>
      <x:c r="L88" s="15" t="str"/>
    </x:row>
    <x:row r="89">
      <x:c r="A89" s="15" t="str">
        <x:v>CyberArk DEV</x:v>
      </x:c>
      <x:c r="B89" s="15" t="str">
        <x:v>Setup</x:v>
      </x:c>
      <x:c r="C89" s="15" t="str">
        <x:v>Configure credential rotation policy</x:v>
      </x:c>
      <x:c r="D89" s="15" t="str">
        <x:v>DEV</x:v>
      </x:c>
      <x:c r="E89" s="15" t="str">
        <x:v>CVIS / CyberArk Team</x:v>
      </x:c>
      <x:c r="F89" s="15" t="str">
        <x:v>DEP-010</x:v>
      </x:c>
      <x:c r="G89" s="15" t="str"/>
      <x:c r="H89" s="15" t="str">
        <x:v>To do</x:v>
      </x:c>
      <x:c r="I89" s="23" t="n">
        <x:v>8</x:v>
      </x:c>
      <x:c r="J89" s="23" t="n">
        <x:v>0.5</x:v>
      </x:c>
      <x:c r="K89" s="23" t="n">
        <x:v>2</x:v>
      </x:c>
      <x:c r="L89" s="15" t="str"/>
    </x:row>
    <x:row r="90">
      <x:c r="A90" s="15" t="str">
        <x:v>CyberArk DEV</x:v>
      </x:c>
      <x:c r="B90" s="15" t="str">
        <x:v>Setup</x:v>
      </x:c>
      <x:c r="C90" s="15" t="str">
        <x:v>Validate account retrieval</x:v>
      </x:c>
      <x:c r="D90" s="15" t="str">
        <x:v>DEV</x:v>
      </x:c>
      <x:c r="E90" s="15" t="str">
        <x:v>CVIS</x:v>
      </x:c>
      <x:c r="F90" s="15" t="str">
        <x:v>DEP-010</x:v>
      </x:c>
      <x:c r="G90" s="15" t="str"/>
      <x:c r="H90" s="15" t="str">
        <x:v>To do</x:v>
      </x:c>
      <x:c r="I90" s="23" t="n">
        <x:v>8</x:v>
      </x:c>
      <x:c r="J90" s="23" t="n">
        <x:v>0.5</x:v>
      </x:c>
      <x:c r="K90" s="23" t="n">
        <x:v>1</x:v>
      </x:c>
      <x:c r="L90" s="15" t="str"/>
    </x:row>
    <x:row r="91">
      <x:c r="A91" s="15" t="str">
        <x:v>CyberArk DEV</x:v>
      </x:c>
      <x:c r="B91" s="15" t="str">
        <x:v>Setup</x:v>
      </x:c>
      <x:c r="C91" s="15" t="str">
        <x:v>Validate application integration</x:v>
      </x:c>
      <x:c r="D91" s="15" t="str">
        <x:v>DEV</x:v>
      </x:c>
      <x:c r="E91" s="15" t="str">
        <x:v>CVIS</x:v>
      </x:c>
      <x:c r="F91" s="15" t="str">
        <x:v>DEP-010</x:v>
      </x:c>
      <x:c r="G91" s="15" t="str"/>
      <x:c r="H91" s="15" t="str">
        <x:v>To do</x:v>
      </x:c>
      <x:c r="I91" s="23" t="n">
        <x:v>8</x:v>
      </x:c>
      <x:c r="J91" s="23" t="n">
        <x:v>0.5</x:v>
      </x:c>
      <x:c r="K91" s="23" t="n">
        <x:v>1</x:v>
      </x:c>
      <x:c r="L91" s="15" t="str"/>
    </x:row>
    <x:row r="92">
      <x:c r="A92" s="15" t="str">
        <x:v>CyberArk DEV</x:v>
      </x:c>
      <x:c r="B92" s="15" t="str">
        <x:v>Setup</x:v>
      </x:c>
      <x:c r="C92" s="15" t="str">
        <x:v>Document account inventory</x:v>
      </x:c>
      <x:c r="D92" s="15" t="str">
        <x:v>DEV</x:v>
      </x:c>
      <x:c r="E92" s="15" t="str">
        <x:v>CVIS</x:v>
      </x:c>
      <x:c r="F92" s="15" t="str">
        <x:v>DEP-010</x:v>
      </x:c>
      <x:c r="G92" s="15" t="str"/>
      <x:c r="H92" s="15" t="str">
        <x:v>To do</x:v>
      </x:c>
      <x:c r="I92" s="23" t="n">
        <x:v>8</x:v>
      </x:c>
      <x:c r="J92" s="23" t="n">
        <x:v>0.5</x:v>
      </x:c>
      <x:c r="K92" s="23" t="n">
        <x:v>1</x:v>
      </x:c>
      <x:c r="L92" s="15" t="str"/>
    </x:row>
    <x:row r="93">
      <x:c r="A93" s="15" t="str">
        <x:v>Environment Accounts</x:v>
      </x:c>
      <x:c r="B93" s="15" t="str">
        <x:v>DEV Accounts</x:v>
      </x:c>
      <x:c r="C93" s="15" t="str">
        <x:v>Service account request</x:v>
      </x:c>
      <x:c r="D93" s="15" t="str">
        <x:v>DEV</x:v>
      </x:c>
      <x:c r="E93" s="15" t="str">
        <x:v>CVIS / Access Team</x:v>
      </x:c>
      <x:c r="F93" s="15" t="str">
        <x:v>DEP-011</x:v>
      </x:c>
      <x:c r="G93" s="15" t="str"/>
      <x:c r="H93" s="15" t="str">
        <x:v>To do</x:v>
      </x:c>
      <x:c r="I93" s="23" t="n">
        <x:v>9</x:v>
      </x:c>
      <x:c r="J93" s="23" t="n">
        <x:v>0.5</x:v>
      </x:c>
      <x:c r="K93" s="23" t="n">
        <x:v>2</x:v>
      </x:c>
      <x:c r="L93" s="15" t="str"/>
    </x:row>
    <x:row r="94">
      <x:c r="A94" s="15" t="str">
        <x:v>Environment Accounts</x:v>
      </x:c>
      <x:c r="B94" s="15" t="str">
        <x:v>DEV Accounts</x:v>
      </x:c>
      <x:c r="C94" s="15" t="str">
        <x:v>Application account request</x:v>
      </x:c>
      <x:c r="D94" s="15" t="str">
        <x:v>DEV</x:v>
      </x:c>
      <x:c r="E94" s="15" t="str">
        <x:v>CVIS / Access Team</x:v>
      </x:c>
      <x:c r="F94" s="15" t="str">
        <x:v>DEP-011</x:v>
      </x:c>
      <x:c r="G94" s="15" t="str"/>
      <x:c r="H94" s="15" t="str">
        <x:v>To do</x:v>
      </x:c>
      <x:c r="I94" s="23" t="n">
        <x:v>9</x:v>
      </x:c>
      <x:c r="J94" s="23" t="n">
        <x:v>0.5</x:v>
      </x:c>
      <x:c r="K94" s="23" t="n">
        <x:v>2</x:v>
      </x:c>
      <x:c r="L94" s="15" t="str"/>
    </x:row>
    <x:row r="95">
      <x:c r="A95" s="15" t="str">
        <x:v>Environment Accounts</x:v>
      </x:c>
      <x:c r="B95" s="15" t="str">
        <x:v>DEV Accounts</x:v>
      </x:c>
      <x:c r="C95" s="15" t="str">
        <x:v>API account request</x:v>
      </x:c>
      <x:c r="D95" s="15" t="str">
        <x:v>DEV</x:v>
      </x:c>
      <x:c r="E95" s="15" t="str">
        <x:v>CVIS / Access Team</x:v>
      </x:c>
      <x:c r="F95" s="15" t="str">
        <x:v>DEP-011</x:v>
      </x:c>
      <x:c r="G95" s="15" t="str"/>
      <x:c r="H95" s="15" t="str">
        <x:v>To do</x:v>
      </x:c>
      <x:c r="I95" s="23" t="n">
        <x:v>9</x:v>
      </x:c>
      <x:c r="J95" s="23" t="n">
        <x:v>0.5</x:v>
      </x:c>
      <x:c r="K95" s="23" t="n">
        <x:v>2</x:v>
      </x:c>
      <x:c r="L95" s="15" t="str"/>
    </x:row>
    <x:row r="96">
      <x:c r="A96" s="15" t="str">
        <x:v>Environment Accounts</x:v>
      </x:c>
      <x:c r="B96" s="15" t="str">
        <x:v>DEV Accounts</x:v>
      </x:c>
      <x:c r="C96" s="15" t="str">
        <x:v>Shared account request if required</x:v>
      </x:c>
      <x:c r="D96" s="15" t="str">
        <x:v>DEV</x:v>
      </x:c>
      <x:c r="E96" s="15" t="str">
        <x:v>CVIS / Access Team</x:v>
      </x:c>
      <x:c r="F96" s="15" t="str">
        <x:v>DEP-011</x:v>
      </x:c>
      <x:c r="G96" s="15" t="str"/>
      <x:c r="H96" s="15" t="str">
        <x:v>To do</x:v>
      </x:c>
      <x:c r="I96" s="23" t="n">
        <x:v>9</x:v>
      </x:c>
      <x:c r="J96" s="23" t="n">
        <x:v>0.5</x:v>
      </x:c>
      <x:c r="K96" s="23" t="n">
        <x:v>2</x:v>
      </x:c>
      <x:c r="L96" s="15" t="str"/>
    </x:row>
    <x:row r="97">
      <x:c r="A97" s="15" t="str">
        <x:v>Environment Accounts</x:v>
      </x:c>
      <x:c r="B97" s="15" t="str">
        <x:v>DEV Accounts</x:v>
      </x:c>
      <x:c r="C97" s="15" t="str">
        <x:v>Validate account creation</x:v>
      </x:c>
      <x:c r="D97" s="15" t="str">
        <x:v>DEV</x:v>
      </x:c>
      <x:c r="E97" s="15" t="str">
        <x:v>CVIS</x:v>
      </x:c>
      <x:c r="F97" s="15" t="str">
        <x:v>DEP-011</x:v>
      </x:c>
      <x:c r="G97" s="15" t="str"/>
      <x:c r="H97" s="15" t="str">
        <x:v>To do</x:v>
      </x:c>
      <x:c r="I97" s="23" t="n">
        <x:v>9</x:v>
      </x:c>
      <x:c r="J97" s="23" t="n">
        <x:v>0.5</x:v>
      </x:c>
      <x:c r="K97" s="23" t="n">
        <x:v>1</x:v>
      </x:c>
      <x:c r="L97" s="15" t="str"/>
    </x:row>
    <x:row r="98">
      <x:c r="A98" s="15" t="str">
        <x:v>Environment Accounts</x:v>
      </x:c>
      <x:c r="B98" s="15" t="str">
        <x:v>DEV Accounts</x:v>
      </x:c>
      <x:c r="C98" s="15" t="str">
        <x:v>Store account references in project documentation</x:v>
      </x:c>
      <x:c r="D98" s="15" t="str">
        <x:v>DEV</x:v>
      </x:c>
      <x:c r="E98" s="15" t="str">
        <x:v>CVIS</x:v>
      </x:c>
      <x:c r="F98" s="15" t="str">
        <x:v>DEP-011</x:v>
      </x:c>
      <x:c r="G98" s="15" t="str"/>
      <x:c r="H98" s="15" t="str">
        <x:v>To do</x:v>
      </x:c>
      <x:c r="I98" s="23" t="n">
        <x:v>9</x:v>
      </x:c>
      <x:c r="J98" s="23" t="n">
        <x:v>0.5</x:v>
      </x:c>
      <x:c r="K98" s="23" t="n">
        <x:v>1</x:v>
      </x:c>
      <x:c r="L98" s="15" t="str"/>
    </x:row>
    <x:row r="99">
      <x:c r="A99" s="15" t="str">
        <x:v>Environment Accounts</x:v>
      </x:c>
      <x:c r="B99" s="15" t="str">
        <x:v>QA Accounts</x:v>
      </x:c>
      <x:c r="C99" s="15" t="str">
        <x:v>Service account request</x:v>
      </x:c>
      <x:c r="D99" s="15" t="str">
        <x:v>QA</x:v>
      </x:c>
      <x:c r="E99" s="15" t="str">
        <x:v>CVIS / Access Team</x:v>
      </x:c>
      <x:c r="F99" s="15" t="str">
        <x:v>DEP-011</x:v>
      </x:c>
      <x:c r="G99" s="15" t="str"/>
      <x:c r="H99" s="15" t="str">
        <x:v>To do</x:v>
      </x:c>
      <x:c r="I99" s="23" t="n">
        <x:v>10</x:v>
      </x:c>
      <x:c r="J99" s="23" t="n">
        <x:v>0.5</x:v>
      </x:c>
      <x:c r="K99" s="23" t="n">
        <x:v>2</x:v>
      </x:c>
      <x:c r="L99" s="15" t="str"/>
    </x:row>
    <x:row r="100">
      <x:c r="A100" s="15" t="str">
        <x:v>Environment Accounts</x:v>
      </x:c>
      <x:c r="B100" s="15" t="str">
        <x:v>QA Accounts</x:v>
      </x:c>
      <x:c r="C100" s="15" t="str">
        <x:v>Application account request</x:v>
      </x:c>
      <x:c r="D100" s="15" t="str">
        <x:v>QA</x:v>
      </x:c>
      <x:c r="E100" s="15" t="str">
        <x:v>CVIS / Access Team</x:v>
      </x:c>
      <x:c r="F100" s="15" t="str">
        <x:v>DEP-011</x:v>
      </x:c>
      <x:c r="G100" s="15" t="str"/>
      <x:c r="H100" s="15" t="str">
        <x:v>To do</x:v>
      </x:c>
      <x:c r="I100" s="23" t="n">
        <x:v>10</x:v>
      </x:c>
      <x:c r="J100" s="23" t="n">
        <x:v>0.5</x:v>
      </x:c>
      <x:c r="K100" s="23" t="n">
        <x:v>2</x:v>
      </x:c>
      <x:c r="L100" s="15" t="str"/>
    </x:row>
    <x:row r="101">
      <x:c r="A101" s="15" t="str">
        <x:v>Environment Accounts</x:v>
      </x:c>
      <x:c r="B101" s="15" t="str">
        <x:v>QA Accounts</x:v>
      </x:c>
      <x:c r="C101" s="15" t="str">
        <x:v>API account request</x:v>
      </x:c>
      <x:c r="D101" s="15" t="str">
        <x:v>QA</x:v>
      </x:c>
      <x:c r="E101" s="15" t="str">
        <x:v>CVIS / Access Team</x:v>
      </x:c>
      <x:c r="F101" s="15" t="str">
        <x:v>DEP-011</x:v>
      </x:c>
      <x:c r="G101" s="15" t="str"/>
      <x:c r="H101" s="15" t="str">
        <x:v>To do</x:v>
      </x:c>
      <x:c r="I101" s="23" t="n">
        <x:v>10</x:v>
      </x:c>
      <x:c r="J101" s="23" t="n">
        <x:v>0.5</x:v>
      </x:c>
      <x:c r="K101" s="23" t="n">
        <x:v>2</x:v>
      </x:c>
      <x:c r="L101" s="15" t="str"/>
    </x:row>
    <x:row r="102">
      <x:c r="A102" s="15" t="str">
        <x:v>Environment Accounts</x:v>
      </x:c>
      <x:c r="B102" s="15" t="str">
        <x:v>QA Accounts</x:v>
      </x:c>
      <x:c r="C102" s="15" t="str">
        <x:v>Shared account request if required</x:v>
      </x:c>
      <x:c r="D102" s="15" t="str">
        <x:v>QA</x:v>
      </x:c>
      <x:c r="E102" s="15" t="str">
        <x:v>CVIS / Access Team</x:v>
      </x:c>
      <x:c r="F102" s="15" t="str">
        <x:v>DEP-011</x:v>
      </x:c>
      <x:c r="G102" s="15" t="str"/>
      <x:c r="H102" s="15" t="str">
        <x:v>To do</x:v>
      </x:c>
      <x:c r="I102" s="23" t="n">
        <x:v>10</x:v>
      </x:c>
      <x:c r="J102" s="23" t="n">
        <x:v>0.5</x:v>
      </x:c>
      <x:c r="K102" s="23" t="n">
        <x:v>2</x:v>
      </x:c>
      <x:c r="L102" s="15" t="str"/>
    </x:row>
    <x:row r="103">
      <x:c r="A103" s="15" t="str">
        <x:v>Environment Accounts</x:v>
      </x:c>
      <x:c r="B103" s="15" t="str">
        <x:v>QA Accounts</x:v>
      </x:c>
      <x:c r="C103" s="15" t="str">
        <x:v>Validate account creation</x:v>
      </x:c>
      <x:c r="D103" s="15" t="str">
        <x:v>QA</x:v>
      </x:c>
      <x:c r="E103" s="15" t="str">
        <x:v>CVIS</x:v>
      </x:c>
      <x:c r="F103" s="15" t="str">
        <x:v>DEP-011</x:v>
      </x:c>
      <x:c r="G103" s="15" t="str"/>
      <x:c r="H103" s="15" t="str">
        <x:v>To do</x:v>
      </x:c>
      <x:c r="I103" s="23" t="n">
        <x:v>10</x:v>
      </x:c>
      <x:c r="J103" s="23" t="n">
        <x:v>0.5</x:v>
      </x:c>
      <x:c r="K103" s="23" t="n">
        <x:v>1</x:v>
      </x:c>
      <x:c r="L103" s="15" t="str"/>
    </x:row>
    <x:row r="104">
      <x:c r="A104" s="15" t="str">
        <x:v>Environment Accounts</x:v>
      </x:c>
      <x:c r="B104" s="15" t="str">
        <x:v>QA Accounts</x:v>
      </x:c>
      <x:c r="C104" s="15" t="str">
        <x:v>Verify environment-specific permissions</x:v>
      </x:c>
      <x:c r="D104" s="15" t="str">
        <x:v>QA</x:v>
      </x:c>
      <x:c r="E104" s="15" t="str">
        <x:v>CVIS</x:v>
      </x:c>
      <x:c r="F104" s="15" t="str">
        <x:v>DEP-011</x:v>
      </x:c>
      <x:c r="G104" s="15" t="str"/>
      <x:c r="H104" s="15" t="str">
        <x:v>To do</x:v>
      </x:c>
      <x:c r="I104" s="23" t="n">
        <x:v>10</x:v>
      </x:c>
      <x:c r="J104" s="23" t="n">
        <x:v>0.5</x:v>
      </x:c>
      <x:c r="K104" s="23" t="n">
        <x:v>1</x:v>
      </x:c>
      <x:c r="L104" s="15" t="str"/>
    </x:row>
    <x:row r="105">
      <x:c r="A105" s="15" t="str">
        <x:v>Environment Accounts</x:v>
      </x:c>
      <x:c r="B105" s="15" t="str">
        <x:v>QA Accounts</x:v>
      </x:c>
      <x:c r="C105" s="15" t="str">
        <x:v>Document account ownership</x:v>
      </x:c>
      <x:c r="D105" s="15" t="str">
        <x:v>QA</x:v>
      </x:c>
      <x:c r="E105" s="15" t="str">
        <x:v>CVIS</x:v>
      </x:c>
      <x:c r="F105" s="15" t="str">
        <x:v>DEP-011</x:v>
      </x:c>
      <x:c r="G105" s="15" t="str"/>
      <x:c r="H105" s="15" t="str">
        <x:v>To do</x:v>
      </x:c>
      <x:c r="I105" s="23" t="n">
        <x:v>10</x:v>
      </x:c>
      <x:c r="J105" s="23" t="n">
        <x:v>0.5</x:v>
      </x:c>
      <x:c r="K105" s="23" t="n">
        <x:v>1</x:v>
      </x:c>
      <x:c r="L105" s="15" t="str"/>
    </x:row>
    <x:row r="106">
      <x:c r="A106" s="15" t="str">
        <x:v>HyperExecute</x:v>
      </x:c>
      <x:c r="B106" s="15" t="str">
        <x:v>Access</x:v>
      </x:c>
      <x:c r="C106" s="15" t="str">
        <x:v>Confirm HyperExecute ownership and intake path</x:v>
      </x:c>
      <x:c r="D106" s="15" t="str">
        <x:v>Non-Prod</x:v>
      </x:c>
      <x:c r="E106" s="15" t="str">
        <x:v>CVIS / Automated Testing Team</x:v>
      </x:c>
      <x:c r="F106" s="15" t="str">
        <x:v>DEP-009</x:v>
      </x:c>
      <x:c r="G106" s="15" t="str"/>
      <x:c r="H106" s="15" t="str">
        <x:v>To do</x:v>
      </x:c>
      <x:c r="I106" s="23" t="n">
        <x:v>17</x:v>
      </x:c>
      <x:c r="J106" s="23" t="n">
        <x:v>0.5</x:v>
      </x:c>
      <x:c r="K106" s="23" t="n">
        <x:v>1</x:v>
      </x:c>
      <x:c r="L106" s="15" t="str">
        <x:v>Separate from Harness; automated testing</x:v>
      </x:c>
    </x:row>
    <x:row r="107">
      <x:c r="A107" s="15" t="str">
        <x:v>HyperExecute</x:v>
      </x:c>
      <x:c r="B107" s="15" t="str">
        <x:v>Access</x:v>
      </x:c>
      <x:c r="C107" s="15" t="str">
        <x:v>Request HyperExecute access</x:v>
      </x:c>
      <x:c r="D107" s="15" t="str">
        <x:v>Non-Prod</x:v>
      </x:c>
      <x:c r="E107" s="15" t="str">
        <x:v>CVIS / Automated Testing Team</x:v>
      </x:c>
      <x:c r="F107" s="15" t="str">
        <x:v>DEP-009</x:v>
      </x:c>
      <x:c r="G107" s="15" t="str"/>
      <x:c r="H107" s="15" t="str">
        <x:v>To do</x:v>
      </x:c>
      <x:c r="I107" s="23" t="n">
        <x:v>17</x:v>
      </x:c>
      <x:c r="J107" s="23" t="n">
        <x:v>0.5</x:v>
      </x:c>
      <x:c r="K107" s="23" t="n">
        <x:v>2</x:v>
      </x:c>
      <x:c r="L107" s="15" t="str"/>
    </x:row>
    <x:row r="108">
      <x:c r="A108" s="15" t="str">
        <x:v>HyperExecute</x:v>
      </x:c>
      <x:c r="B108" s="15" t="str">
        <x:v>Setup</x:v>
      </x:c>
      <x:c r="C108" s="15" t="str">
        <x:v>Configure automated testing integration</x:v>
      </x:c>
      <x:c r="D108" s="15" t="str">
        <x:v>Non-Prod</x:v>
      </x:c>
      <x:c r="E108" s="15" t="str">
        <x:v>CVIS / Automated Testing Team</x:v>
      </x:c>
      <x:c r="F108" s="15" t="str">
        <x:v>DEP-009</x:v>
      </x:c>
      <x:c r="G108" s="15" t="str"/>
      <x:c r="H108" s="15" t="str">
        <x:v>To do</x:v>
      </x:c>
      <x:c r="I108" s="23" t="n">
        <x:v>17</x:v>
      </x:c>
      <x:c r="J108" s="23" t="n">
        <x:v>1</x:v>
      </x:c>
      <x:c r="K108" s="23" t="n">
        <x:v>3</x:v>
      </x:c>
      <x:c r="L108" s="15" t="str"/>
    </x:row>
    <x:row r="109">
      <x:c r="A109" s="15" t="str">
        <x:v>HyperExecute</x:v>
      </x:c>
      <x:c r="B109" s="15" t="str">
        <x:v>Setup</x:v>
      </x:c>
      <x:c r="C109" s="15" t="str">
        <x:v>Validate automated test execution</x:v>
      </x:c>
      <x:c r="D109" s="15" t="str">
        <x:v>Non-Prod</x:v>
      </x:c>
      <x:c r="E109" s="15" t="str">
        <x:v>CVIS / Automated Testing Team</x:v>
      </x:c>
      <x:c r="F109" s="15" t="str">
        <x:v>DEP-009</x:v>
      </x:c>
      <x:c r="G109" s="15" t="str"/>
      <x:c r="H109" s="15" t="str">
        <x:v>To do</x:v>
      </x:c>
      <x:c r="I109" s="23" t="n">
        <x:v>17</x:v>
      </x:c>
      <x:c r="J109" s="23" t="n">
        <x:v>1</x:v>
      </x:c>
      <x:c r="K109" s="23" t="n">
        <x:v>2</x:v>
      </x:c>
      <x:c r="L109" s="15" t="str"/>
    </x:row>
    <x:row r="110">
      <x:c r="A110" s="15" t="str">
        <x:v>HyperExecute</x:v>
      </x:c>
      <x:c r="B110" s="15" t="str">
        <x:v>Setup</x:v>
      </x:c>
      <x:c r="C110" s="15" t="str">
        <x:v>Document test execution process</x:v>
      </x:c>
      <x:c r="D110" s="15" t="str">
        <x:v>Non-Prod</x:v>
      </x:c>
      <x:c r="E110" s="15" t="str">
        <x:v>CVIS</x:v>
      </x:c>
      <x:c r="F110" s="15" t="str">
        <x:v>DEP-009</x:v>
      </x:c>
      <x:c r="G110" s="15" t="str"/>
      <x:c r="H110" s="15" t="str">
        <x:v>To do</x:v>
      </x:c>
      <x:c r="I110" s="23" t="n">
        <x:v>17</x:v>
      </x:c>
      <x:c r="J110" s="23" t="n">
        <x:v>0.5</x:v>
      </x:c>
      <x:c r="K110" s="23" t="n">
        <x:v>1</x:v>
      </x:c>
      <x:c r="L110" s="15" t="str"/>
    </x:row>
  </x:sheetData>
  <x:mergeCells>
    <x:mergeCell ref="A1:L1"/>
    <x:mergeCell ref="A2:L2"/>
  </x:mergeCells>
  <x:conditionalFormatting sqref="H5:H110">
    <x:cfRule type="containsText" dxfId="35" priority="1" operator="containsText" text="Complete"/>
    <x:cfRule type="containsText" dxfId="36" priority="2" operator="containsText" text="Blocked"/>
    <x:cfRule type="containsText" dxfId="37" priority="3" operator="containsText" text="At Risk"/>
    <x:cfRule type="containsText" dxfId="38" priority="4" operator="containsText" text="In Progress"/>
  </x:conditionalFormatting>
  <x:dataValidations count="1">
    <x:dataValidation type="list" sqref="H5:H110">
      <x:formula1>'Assumptions'!$U$27:$U$34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a8c04a33e64cc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" hidden="0" customWidth="1"/>
    <x:col min="3" max="3" width="20" hidden="0" customWidth="1"/>
    <x:col min="4" max="4" width="14" hidden="0" customWidth="1"/>
    <x:col min="5" max="5" width="16" hidden="0" customWidth="1"/>
    <x:col min="6" max="6" width="28" hidden="0" customWidth="1"/>
    <x:col min="7" max="7" width="42" hidden="0" customWidth="1"/>
  </x:cols>
  <x:sheetData>
    <x:row r="1" ht="30" customHeight="1">
      <x:c r="A1" s="38" t="str">
        <x:v>Execution Order</x:v>
      </x:c>
      <x:c r="B1" s="38" t="str">
        <x:v>Execution Order</x:v>
      </x:c>
      <x:c r="C1" s="38" t="str">
        <x:v>Execution Order</x:v>
      </x:c>
      <x:c r="D1" s="38" t="str">
        <x:v>Execution Order</x:v>
      </x:c>
      <x:c r="E1" s="38" t="str">
        <x:v>Execution Order</x:v>
      </x:c>
      <x:c r="F1" s="38" t="str">
        <x:v>Execution Order</x:v>
      </x:c>
      <x:c r="G1" s="38" t="str">
        <x:v>Execution Order</x:v>
      </x:c>
    </x:row>
    <x:row r="2" ht="34" customHeight="1">
      <x:c r="A2" s="39" t="str">
        <x:v>Recommended order for onboarding and setup tasks. Use this as the first-pass sequencing view.</x:v>
      </x:c>
      <x:c r="B2" s="39" t="str">
        <x:v>Recommended order for onboarding and setup tasks. Use this as the first-pass sequencing view.</x:v>
      </x:c>
      <x:c r="C2" s="39" t="str">
        <x:v>Recommended order for onboarding and setup tasks. Use this as the first-pass sequencing view.</x:v>
      </x:c>
      <x:c r="D2" s="39" t="str">
        <x:v>Recommended order for onboarding and setup tasks. Use this as the first-pass sequencing view.</x:v>
      </x:c>
      <x:c r="E2" s="39" t="str">
        <x:v>Recommended order for onboarding and setup tasks. Use this as the first-pass sequencing view.</x:v>
      </x:c>
      <x:c r="F2" s="39" t="str">
        <x:v>Recommended order for onboarding and setup tasks. Use this as the first-pass sequencing view.</x:v>
      </x:c>
      <x:c r="G2" s="39" t="str">
        <x:v>Recommended order for onboarding and setup tasks. Use this as the first-pass sequencing view.</x:v>
      </x:c>
    </x:row>
    <x:row r="3">
      <x:c r="A3" s="40"/>
      <x:c r="B3" s="40"/>
      <x:c r="C3" s="40"/>
      <x:c r="D3" s="40"/>
      <x:c r="E3" s="40"/>
      <x:c r="F3" s="40"/>
      <x:c r="G3" s="40"/>
    </x:row>
    <x:row r="4" ht="34" customHeight="1">
      <x:c r="A4" s="44" t="str">
        <x:v>Priority</x:v>
      </x:c>
      <x:c r="B4" s="44" t="str">
        <x:v>Task</x:v>
      </x:c>
      <x:c r="C4" s="44" t="str">
        <x:v>Platform</x:v>
      </x:c>
      <x:c r="D4" s="44" t="str">
        <x:v>Dependency ID</x:v>
      </x:c>
      <x:c r="E4" s="44" t="str">
        <x:v>Status</x:v>
      </x:c>
      <x:c r="F4" s="44" t="str">
        <x:v>Owner</x:v>
      </x:c>
      <x:c r="G4" s="44" t="str">
        <x:v>Notes</x:v>
      </x:c>
    </x:row>
    <x:row r="5">
      <x:c r="A5" s="19" t="n">
        <x:v>1</x:v>
      </x:c>
      <x:c r="B5" s="15" t="str">
        <x:v>Request Devin Access</x:v>
      </x:c>
      <x:c r="C5" s="15" t="str">
        <x:v>Devin</x:v>
      </x:c>
      <x:c r="D5" s="15" t="str">
        <x:v>DEP-005</x:v>
      </x:c>
      <x:c r="E5" s="15" t="str">
        <x:v>To do</x:v>
      </x:c>
      <x:c r="F5" s="15" t="str">
        <x:v>CVIS</x:v>
      </x:c>
      <x:c r="G5" s="15" t="str"/>
    </x:row>
    <x:row r="6">
      <x:c r="A6" s="19" t="n">
        <x:v>2</x:v>
      </x:c>
      <x:c r="B6" s="15" t="str">
        <x:v>Request Harness Access</x:v>
      </x:c>
      <x:c r="C6" s="15" t="str">
        <x:v>Harness</x:v>
      </x:c>
      <x:c r="D6" s="15" t="str">
        <x:v>DEP-008</x:v>
      </x:c>
      <x:c r="E6" s="15" t="str">
        <x:v>To do</x:v>
      </x:c>
      <x:c r="F6" s="15" t="str">
        <x:v>CVIS</x:v>
      </x:c>
      <x:c r="G6" s="15" t="str"/>
    </x:row>
    <x:row r="7">
      <x:c r="A7" s="19" t="n">
        <x:v>3</x:v>
      </x:c>
      <x:c r="B7" s="15" t="str">
        <x:v>Request Kafka Access</x:v>
      </x:c>
      <x:c r="C7" s="15" t="str">
        <x:v>Kafka</x:v>
      </x:c>
      <x:c r="D7" s="15" t="str">
        <x:v>DEP-006</x:v>
      </x:c>
      <x:c r="E7" s="15" t="str">
        <x:v>To do</x:v>
      </x:c>
      <x:c r="F7" s="15" t="str">
        <x:v>CVIS</x:v>
      </x:c>
      <x:c r="G7" s="15" t="str"/>
    </x:row>
    <x:row r="8">
      <x:c r="A8" s="19" t="n">
        <x:v>4</x:v>
      </x:c>
      <x:c r="B8" s="15" t="str">
        <x:v>Request Splunk Access</x:v>
      </x:c>
      <x:c r="C8" s="15" t="str">
        <x:v>Splunk</x:v>
      </x:c>
      <x:c r="D8" s="15" t="str">
        <x:v>DEP-007</x:v>
      </x:c>
      <x:c r="E8" s="15" t="str">
        <x:v>To do</x:v>
      </x:c>
      <x:c r="F8" s="15" t="str">
        <x:v>CVIS</x:v>
      </x:c>
      <x:c r="G8" s="15" t="str"/>
    </x:row>
    <x:row r="9">
      <x:c r="A9" s="19" t="n">
        <x:v>5</x:v>
      </x:c>
      <x:c r="B9" s="15" t="str">
        <x:v>Request Container Access</x:v>
      </x:c>
      <x:c r="C9" s="15" t="str">
        <x:v>Containers</x:v>
      </x:c>
      <x:c r="D9" s="15" t="str">
        <x:v>DEP-001</x:v>
      </x:c>
      <x:c r="E9" s="15" t="str">
        <x:v>To do</x:v>
      </x:c>
      <x:c r="F9" s="15" t="str">
        <x:v>CVIS</x:v>
      </x:c>
      <x:c r="G9" s="15" t="str"/>
    </x:row>
    <x:row r="10">
      <x:c r="A10" s="19" t="n">
        <x:v>6</x:v>
      </x:c>
      <x:c r="B10" s="15" t="str">
        <x:v>Request Apigee Access</x:v>
      </x:c>
      <x:c r="C10" s="15" t="str">
        <x:v>Apigee</x:v>
      </x:c>
      <x:c r="D10" s="15" t="str">
        <x:v>DEP-002</x:v>
      </x:c>
      <x:c r="E10" s="15" t="str">
        <x:v>To do</x:v>
      </x:c>
      <x:c r="F10" s="15" t="str">
        <x:v>CVIS</x:v>
      </x:c>
      <x:c r="G10" s="15" t="str"/>
    </x:row>
    <x:row r="11">
      <x:c r="A11" s="19" t="n">
        <x:v>7</x:v>
      </x:c>
      <x:c r="B11" s="15" t="str">
        <x:v>Request CyberArk DEV Access</x:v>
      </x:c>
      <x:c r="C11" s="15" t="str">
        <x:v>CyberArk DEV</x:v>
      </x:c>
      <x:c r="D11" s="15" t="str">
        <x:v>DEP-010</x:v>
      </x:c>
      <x:c r="E11" s="15" t="str">
        <x:v>To do</x:v>
      </x:c>
      <x:c r="F11" s="15" t="str">
        <x:v>CVIS</x:v>
      </x:c>
      <x:c r="G11" s="15" t="str"/>
    </x:row>
    <x:row r="12">
      <x:c r="A12" s="19" t="n">
        <x:v>8</x:v>
      </x:c>
      <x:c r="B12" s="15" t="str">
        <x:v>Create CyberArk DEV Accounts</x:v>
      </x:c>
      <x:c r="C12" s="15" t="str">
        <x:v>CyberArk DEV</x:v>
      </x:c>
      <x:c r="D12" s="15" t="str">
        <x:v>DEP-010</x:v>
      </x:c>
      <x:c r="E12" s="15" t="str">
        <x:v>To do</x:v>
      </x:c>
      <x:c r="F12" s="15" t="str">
        <x:v>CVIS / CyberArk Team</x:v>
      </x:c>
      <x:c r="G12" s="15" t="str"/>
    </x:row>
    <x:row r="13">
      <x:c r="A13" s="19" t="n">
        <x:v>9</x:v>
      </x:c>
      <x:c r="B13" s="15" t="str">
        <x:v>Request DEV Environment Accounts</x:v>
      </x:c>
      <x:c r="C13" s="15" t="str">
        <x:v>Environment Accounts</x:v>
      </x:c>
      <x:c r="D13" s="15" t="str">
        <x:v>DEP-011</x:v>
      </x:c>
      <x:c r="E13" s="15" t="str">
        <x:v>To do</x:v>
      </x:c>
      <x:c r="F13" s="15" t="str">
        <x:v>CVIS / Access Team</x:v>
      </x:c>
      <x:c r="G13" s="15" t="str"/>
    </x:row>
    <x:row r="14">
      <x:c r="A14" s="19" t="n">
        <x:v>10</x:v>
      </x:c>
      <x:c r="B14" s="15" t="str">
        <x:v>Request QA Environment Accounts</x:v>
      </x:c>
      <x:c r="C14" s="15" t="str">
        <x:v>Environment Accounts</x:v>
      </x:c>
      <x:c r="D14" s="15" t="str">
        <x:v>DEP-011</x:v>
      </x:c>
      <x:c r="E14" s="15" t="str">
        <x:v>To do</x:v>
      </x:c>
      <x:c r="F14" s="15" t="str">
        <x:v>CVIS / Access Team</x:v>
      </x:c>
      <x:c r="G14" s="15" t="str"/>
    </x:row>
    <x:row r="15">
      <x:c r="A15" s="19" t="n">
        <x:v>11</x:v>
      </x:c>
      <x:c r="B15" s="15" t="str">
        <x:v>Complete Container Setup</x:v>
      </x:c>
      <x:c r="C15" s="15" t="str">
        <x:v>Containers</x:v>
      </x:c>
      <x:c r="D15" s="15" t="str">
        <x:v>DEP-001</x:v>
      </x:c>
      <x:c r="E15" s="15" t="str">
        <x:v>To do</x:v>
      </x:c>
      <x:c r="F15" s="15" t="str">
        <x:v>CVIS / Platform</x:v>
      </x:c>
      <x:c r="G15" s="15" t="str"/>
    </x:row>
    <x:row r="16">
      <x:c r="A16" s="19" t="n">
        <x:v>12</x:v>
      </x:c>
      <x:c r="B16" s="15" t="str">
        <x:v>Complete Devin Setup</x:v>
      </x:c>
      <x:c r="C16" s="15" t="str">
        <x:v>Devin</x:v>
      </x:c>
      <x:c r="D16" s="15" t="str">
        <x:v>DEP-005</x:v>
      </x:c>
      <x:c r="E16" s="15" t="str">
        <x:v>To do</x:v>
      </x:c>
      <x:c r="F16" s="15" t="str">
        <x:v>CVIS</x:v>
      </x:c>
      <x:c r="G16" s="15" t="str"/>
    </x:row>
    <x:row r="17">
      <x:c r="A17" s="19" t="n">
        <x:v>13</x:v>
      </x:c>
      <x:c r="B17" s="15" t="str">
        <x:v>Complete Kafka Setup</x:v>
      </x:c>
      <x:c r="C17" s="15" t="str">
        <x:v>Kafka</x:v>
      </x:c>
      <x:c r="D17" s="15" t="str">
        <x:v>DEP-006</x:v>
      </x:c>
      <x:c r="E17" s="15" t="str">
        <x:v>To do</x:v>
      </x:c>
      <x:c r="F17" s="15" t="str">
        <x:v>CVIS / Kafka Team</x:v>
      </x:c>
      <x:c r="G17" s="15" t="str"/>
    </x:row>
    <x:row r="18">
      <x:c r="A18" s="19" t="n">
        <x:v>14</x:v>
      </x:c>
      <x:c r="B18" s="15" t="str">
        <x:v>Complete Splunk Setup</x:v>
      </x:c>
      <x:c r="C18" s="15" t="str">
        <x:v>Splunk</x:v>
      </x:c>
      <x:c r="D18" s="15" t="str">
        <x:v>DEP-007</x:v>
      </x:c>
      <x:c r="E18" s="15" t="str">
        <x:v>To do</x:v>
      </x:c>
      <x:c r="F18" s="15" t="str">
        <x:v>CVIS / Splunk Team</x:v>
      </x:c>
      <x:c r="G18" s="15" t="str"/>
    </x:row>
    <x:row r="19">
      <x:c r="A19" s="19" t="n">
        <x:v>15</x:v>
      </x:c>
      <x:c r="B19" s="15" t="str">
        <x:v>Complete Harness Setup</x:v>
      </x:c>
      <x:c r="C19" s="15" t="str">
        <x:v>Harness</x:v>
      </x:c>
      <x:c r="D19" s="15" t="str">
        <x:v>DEP-008</x:v>
      </x:c>
      <x:c r="E19" s="15" t="str">
        <x:v>To do</x:v>
      </x:c>
      <x:c r="F19" s="15" t="str">
        <x:v>CVIS / Harness Team</x:v>
      </x:c>
      <x:c r="G19" s="15" t="str"/>
    </x:row>
    <x:row r="20">
      <x:c r="A20" s="19" t="n">
        <x:v>16</x:v>
      </x:c>
      <x:c r="B20" s="15" t="str">
        <x:v>Complete Apigee Setup</x:v>
      </x:c>
      <x:c r="C20" s="15" t="str">
        <x:v>Apigee</x:v>
      </x:c>
      <x:c r="D20" s="15" t="str">
        <x:v>DEP-002</x:v>
      </x:c>
      <x:c r="E20" s="15" t="str">
        <x:v>To do</x:v>
      </x:c>
      <x:c r="F20" s="15" t="str">
        <x:v>CVIS / API Team</x:v>
      </x:c>
      <x:c r="G20" s="15" t="str"/>
    </x:row>
    <x:row r="21">
      <x:c r="A21" s="19" t="n">
        <x:v>17</x:v>
      </x:c>
      <x:c r="B21" s="15" t="str">
        <x:v>Validate End-to-End Connectivity</x:v>
      </x:c>
      <x:c r="C21" s="15" t="str">
        <x:v>All</x:v>
      </x:c>
      <x:c r="D21" s="15" t="str">
        <x:v>Multiple</x:v>
      </x:c>
      <x:c r="E21" s="15" t="str">
        <x:v>To do</x:v>
      </x:c>
      <x:c r="F21" s="15" t="str">
        <x:v>CVIS</x:v>
      </x:c>
      <x:c r="G21" s="15" t="str"/>
    </x:row>
    <x:row r="22">
      <x:c r="A22" s="19" t="n">
        <x:v>18</x:v>
      </x:c>
      <x:c r="B22" s="15" t="str">
        <x:v>Request HyperExecute Access</x:v>
      </x:c>
      <x:c r="C22" s="15" t="str">
        <x:v>HyperExecute</x:v>
      </x:c>
      <x:c r="D22" s="15" t="str">
        <x:v>DEP-009</x:v>
      </x:c>
      <x:c r="E22" s="15" t="str">
        <x:v>To do</x:v>
      </x:c>
      <x:c r="F22" s="15" t="str">
        <x:v>CVIS / Automated Testing Team</x:v>
      </x:c>
      <x:c r="G22" s="15" t="str">
        <x:v>Added as separate automated testing dependency</x:v>
      </x:c>
    </x:row>
    <x:row r="23">
      <x:c r="A23" s="19" t="n">
        <x:v>19</x:v>
      </x:c>
      <x:c r="B23" s="15" t="str">
        <x:v>Complete HyperExecute Setup</x:v>
      </x:c>
      <x:c r="C23" s="15" t="str">
        <x:v>HyperExecute</x:v>
      </x:c>
      <x:c r="D23" s="15" t="str">
        <x:v>DEP-009</x:v>
      </x:c>
      <x:c r="E23" s="15" t="str">
        <x:v>To do</x:v>
      </x:c>
      <x:c r="F23" s="15" t="str">
        <x:v>CVIS / Automated Testing Team</x:v>
      </x:c>
      <x:c r="G23" s="15" t="str"/>
    </x:row>
  </x:sheetData>
  <x:mergeCells>
    <x:mergeCell ref="A1:G1"/>
    <x:mergeCell ref="A2:G2"/>
  </x:mergeCells>
  <x:conditionalFormatting sqref="E5:E23">
    <x:cfRule type="containsText" dxfId="39" priority="1" operator="containsText" text="Complete"/>
    <x:cfRule type="containsText" dxfId="40" priority="2" operator="containsText" text="Blocked"/>
    <x:cfRule type="containsText" dxfId="41" priority="3" operator="containsText" text="At Risk"/>
    <x:cfRule type="containsText" dxfId="42" priority="4" operator="containsText" text="In Progress"/>
  </x:conditionalFormatting>
  <x:dataValidations count="1">
    <x:dataValidation type="list" sqref="E5:E23">
      <x:formula1>'Assumptions'!$U$27:$U$34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d42a0538ea400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42" hidden="0" customWidth="1"/>
    <x:col min="5" max="5" width="14" hidden="0" customWidth="1"/>
    <x:col min="6" max="6" width="58" hidden="0" customWidth="1"/>
    <x:col min="7" max="7" width="24" hidden="0" customWidth="1"/>
  </x:cols>
  <x:sheetData>
    <x:row r="1" ht="30" customHeight="1">
      <x:c r="A1" s="38" t="str">
        <x:v>Recovery Language</x:v>
      </x:c>
      <x:c r="B1" s="38" t="str">
        <x:v>Recovery Language</x:v>
      </x:c>
      <x:c r="C1" s="38" t="str">
        <x:v>Recovery Language</x:v>
      </x:c>
      <x:c r="D1" s="38" t="str">
        <x:v>Recovery Language</x:v>
      </x:c>
      <x:c r="E1" s="38" t="str">
        <x:v>Recovery Language</x:v>
      </x:c>
      <x:c r="F1" s="38" t="str">
        <x:v>Recovery Language</x:v>
      </x:c>
      <x:c r="G1" s="38" t="str">
        <x:v>Recovery Language</x:v>
      </x:c>
    </x:row>
    <x:row r="2" ht="34" customHeight="1">
      <x:c r="A2" s="39" t="str">
        <x:v>Leadership-facing wording pulled from the meeting-note extraction. This helps frame the plan without sounding defensive.</x:v>
      </x:c>
      <x:c r="B2" s="39" t="str">
        <x:v>Leadership-facing wording pulled from the meeting-note extraction. This helps frame the plan without sounding defensive.</x:v>
      </x:c>
      <x:c r="C2" s="39" t="str">
        <x:v>Leadership-facing wording pulled from the meeting-note extraction. This helps frame the plan without sounding defensive.</x:v>
      </x:c>
      <x:c r="D2" s="39" t="str">
        <x:v>Leadership-facing wording pulled from the meeting-note extraction. This helps frame the plan without sounding defensive.</x:v>
      </x:c>
      <x:c r="E2" s="39" t="str">
        <x:v>Leadership-facing wording pulled from the meeting-note extraction. This helps frame the plan without sounding defensive.</x:v>
      </x:c>
      <x:c r="F2" s="39" t="str">
        <x:v>Leadership-facing wording pulled from the meeting-note extraction. This helps frame the plan without sounding defensive.</x:v>
      </x:c>
      <x:c r="G2" s="39" t="str">
        <x:v>Leadership-facing wording pulled from the meeting-note extraction. This helps frame the plan without sounding defensive.</x:v>
      </x:c>
    </x:row>
    <x:row r="3">
      <x:c r="A3" s="40"/>
      <x:c r="B3" s="40"/>
      <x:c r="C3" s="40"/>
      <x:c r="D3" s="40"/>
      <x:c r="E3" s="40"/>
      <x:c r="F3" s="40"/>
      <x:c r="G3" s="40"/>
    </x:row>
    <x:row r="4" ht="34" customHeight="1">
      <x:c r="A4" s="44" t="str">
        <x:v>Topic</x:v>
      </x:c>
      <x:c r="B4" s="44" t="str">
        <x:v>Date / Sprint</x:v>
      </x:c>
      <x:c r="C4" s="44" t="str">
        <x:v>Owner</x:v>
      </x:c>
      <x:c r="D4" s="44" t="str">
        <x:v>Dependency</x:v>
      </x:c>
      <x:c r="E4" s="44" t="str">
        <x:v>Confidence</x:v>
      </x:c>
      <x:c r="F4" s="44" t="str">
        <x:v>Source Quote</x:v>
      </x:c>
      <x:c r="G4" s="44" t="str">
        <x:v>Source Ref</x:v>
      </x:c>
    </x:row>
    <x:row r="5">
      <x:c r="A5" s="15" t="str">
        <x:v>Recovery Plan</x:v>
      </x:c>
      <x:c r="B5" s="15" t="str">
        <x:v>Sprint 17</x:v>
      </x:c>
      <x:c r="C5" s="15" t="str">
        <x:v>CVIS / Leadership</x:v>
      </x:c>
      <x:c r="D5" s="15" t="str">
        <x:v>Roadmap, owners, dependencies</x:v>
      </x:c>
      <x:c r="E5" s="15" t="str">
        <x:v>High</x:v>
      </x:c>
      <x:c r="F5" s="15" t="str">
        <x:v>Sprint 17 is the reset sprint.</x:v>
      </x:c>
      <x:c r="G5" s="15" t="str">
        <x:v>turn1search3</x:v>
      </x:c>
    </x:row>
    <x:row r="6">
      <x:c r="A6" s="15" t="str">
        <x:v>Recovery Status</x:v>
      </x:c>
      <x:c r="B6" s="15" t="str">
        <x:v>Current / Now</x:v>
      </x:c>
      <x:c r="C6" s="15" t="str">
        <x:v>Architecture and Governance</x:v>
      </x:c>
      <x:c r="D6" s="15" t="str">
        <x:v>Two recovery sequences framed for leadership decision</x:v>
      </x:c>
      <x:c r="E6" s="15" t="str">
        <x:v>High</x:v>
      </x:c>
      <x:c r="F6" s="15" t="str">
        <x:v>Recovery underway.</x:v>
      </x:c>
      <x:c r="G6" s="15" t="str">
        <x:v>turn1search42; turn1search38</x:v>
      </x:c>
    </x:row>
    <x:row r="7">
      <x:c r="A7" s="15" t="str">
        <x:v>Executive Goal</x:v>
      </x:c>
      <x:c r="B7" s="15" t="str">
        <x:v>Roadmap period</x:v>
      </x:c>
      <x:c r="C7" s="15" t="str">
        <x:v>Leadership / CVIS</x:v>
      </x:c>
      <x:c r="D7" s="15" t="str">
        <x:v>Path to green requires dependencies and risk tracking</x:v>
      </x:c>
      <x:c r="E7" s="15" t="str">
        <x:v>High</x:v>
      </x:c>
      <x:c r="F7" s="15" t="str">
        <x:v>Show leadership ... We have a path to green.</x:v>
      </x:c>
      <x:c r="G7" s="15" t="str">
        <x:v>turn1search3</x:v>
      </x:c>
    </x:row>
    <x:row r="8">
      <x:c r="A8" s="15" t="str">
        <x:v>Leadership Narrative</x:v>
      </x:c>
      <x:c r="B8" s="15" t="str">
        <x:v>Roadmap period</x:v>
      </x:c>
      <x:c r="C8" s="15" t="str">
        <x:v>Mike / Leadership</x:v>
      </x:c>
      <x:c r="D8" s="15" t="str">
        <x:v>Dated plan, owners, risks, dependencies</x:v>
      </x:c>
      <x:c r="E8" s="15" t="str">
        <x:v>High</x:v>
      </x:c>
      <x:c r="F8" s="15" t="str">
        <x:v>Transforming an overwhelming 42-item application/tool migration into a planned, defensible roadmap.</x:v>
      </x:c>
      <x:c r="G8" s="15" t="str">
        <x:v>turn1search3</x:v>
      </x:c>
    </x:row>
    <x:row r="9">
      <x:c r="A9" s="15" t="str">
        <x:v>Re-baseline</x:v>
      </x:c>
      <x:c r="B9" s="15" t="str">
        <x:v>Current recovery planning</x:v>
      </x:c>
      <x:c r="C9" s="15" t="str">
        <x:v>Leadership</x:v>
      </x:c>
      <x:c r="D9" s="15" t="str">
        <x:v>Sequencing decision</x:v>
      </x:c>
      <x:c r="E9" s="15" t="str">
        <x:v>High</x:v>
      </x:c>
      <x:c r="F9" s="15" t="str">
        <x:v>Leadership needs a sequencing decision and a realistic re-baseline.</x:v>
      </x:c>
      <x:c r="G9" s="15" t="str">
        <x:v>turn1search42</x:v>
      </x:c>
    </x:row>
    <x:row r="10">
      <x:c r="A10" s="15"/>
      <x:c r="B10" s="15"/>
      <x:c r="C10" s="15"/>
      <x:c r="D10" s="15"/>
      <x:c r="E10" s="15"/>
      <x:c r="F10" s="15"/>
      <x:c r="G10" s="15"/>
    </x:row>
    <x:row r="11">
      <x:c r="A11" s="15"/>
      <x:c r="B11" s="15"/>
      <x:c r="C11" s="15"/>
      <x:c r="D11" s="15"/>
      <x:c r="E11" s="15"/>
      <x:c r="F11" s="15"/>
      <x:c r="G11" s="15"/>
    </x:row>
    <x:row r="12">
      <x:c r="A12" s="15"/>
      <x:c r="B12" s="15"/>
      <x:c r="C12" s="15"/>
      <x:c r="D12" s="15"/>
      <x:c r="E12" s="15"/>
      <x:c r="F12" s="15"/>
      <x:c r="G12" s="15"/>
    </x:row>
    <x:row r="13">
      <x:c r="A13" s="15"/>
      <x:c r="B13" s="15"/>
      <x:c r="C13" s="15"/>
      <x:c r="D13" s="15"/>
      <x:c r="E13" s="15"/>
      <x:c r="F13" s="15"/>
      <x:c r="G13" s="15"/>
    </x:row>
    <x:row r="14">
      <x:c r="A14" s="15"/>
      <x:c r="B14" s="15"/>
      <x:c r="C14" s="15"/>
      <x:c r="D14" s="15"/>
      <x:c r="E14" s="15"/>
      <x:c r="F14" s="15"/>
      <x:c r="G14" s="15"/>
    </x:row>
    <x:row r="15">
      <x:c r="A15" s="15"/>
      <x:c r="B15" s="15"/>
      <x:c r="C15" s="15"/>
      <x:c r="D15" s="15"/>
      <x:c r="E15" s="15"/>
      <x:c r="F15" s="15"/>
      <x:c r="G15" s="15"/>
    </x:row>
    <x:row r="16">
      <x:c r="A16" s="15"/>
      <x:c r="B16" s="15"/>
      <x:c r="C16" s="15"/>
      <x:c r="D16" s="15"/>
      <x:c r="E16" s="15"/>
      <x:c r="F16" s="15"/>
      <x:c r="G16" s="15"/>
    </x:row>
    <x:row r="17">
      <x:c r="A17" s="15"/>
      <x:c r="B17" s="15"/>
      <x:c r="C17" s="15"/>
      <x:c r="D17" s="15"/>
      <x:c r="E17" s="15"/>
      <x:c r="F17" s="15"/>
      <x:c r="G17" s="15"/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</x:sheetData>
  <x:mergeCells>
    <x:mergeCell ref="A1:G1"/>
    <x:mergeCell ref="A2:G2"/>
  </x:mergeCells>
  <x:conditionalFormatting sqref="E5:E24">
    <x:cfRule type="containsText" dxfId="43" priority="1" operator="containsText" text="High"/>
    <x:cfRule type="containsText" dxfId="44" priority="2" operator="containsText" text="Medium"/>
    <x:cfRule type="containsText" dxfId="45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2fdf92180c34db0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28" hidden="0" customWidth="1"/>
    <x:col min="4" max="4" width="42" hidden="0" customWidth="1"/>
    <x:col min="5" max="5" width="14" hidden="0" customWidth="1"/>
    <x:col min="6" max="6" width="58" hidden="0" customWidth="1"/>
    <x:col min="7" max="7" width="20" hidden="0" customWidth="1"/>
  </x:cols>
  <x:sheetData>
    <x:row r="1" ht="30" customHeight="1">
      <x:c r="A1" s="38" t="str">
        <x:v>Risks Blockers Owners</x:v>
      </x:c>
      <x:c r="B1" s="38" t="str">
        <x:v>Risks Blockers Owners</x:v>
      </x:c>
      <x:c r="C1" s="38" t="str">
        <x:v>Risks Blockers Owners</x:v>
      </x:c>
      <x:c r="D1" s="38" t="str">
        <x:v>Risks Blockers Owners</x:v>
      </x:c>
      <x:c r="E1" s="38" t="str">
        <x:v>Risks Blockers Owners</x:v>
      </x:c>
      <x:c r="F1" s="38" t="str">
        <x:v>Risks Blockers Owners</x:v>
      </x:c>
      <x:c r="G1" s="38" t="str">
        <x:v>Risks Blockers Owners</x:v>
      </x:c>
    </x:row>
    <x:row r="2" ht="34" customHeight="1">
      <x:c r="A2" s="39" t="str">
        <x:v>Risk and blocker list from the Copilot extraction. Use the live Dependency Register for escalation dates and status.</x:v>
      </x:c>
      <x:c r="B2" s="39" t="str">
        <x:v>Risk and blocker list from the Copilot extraction. Use the live Dependency Register for escalation dates and status.</x:v>
      </x:c>
      <x:c r="C2" s="39" t="str">
        <x:v>Risk and blocker list from the Copilot extraction. Use the live Dependency Register for escalation dates and status.</x:v>
      </x:c>
      <x:c r="D2" s="39" t="str">
        <x:v>Risk and blocker list from the Copilot extraction. Use the live Dependency Register for escalation dates and status.</x:v>
      </x:c>
      <x:c r="E2" s="39" t="str">
        <x:v>Risk and blocker list from the Copilot extraction. Use the live Dependency Register for escalation dates and status.</x:v>
      </x:c>
      <x:c r="F2" s="39" t="str">
        <x:v>Risk and blocker list from the Copilot extraction. Use the live Dependency Register for escalation dates and status.</x:v>
      </x:c>
      <x:c r="G2" s="39" t="str">
        <x:v>Risk and blocker list from the Copilot extraction. Use the live Dependency Register for escalation dates and status.</x:v>
      </x:c>
    </x:row>
    <x:row r="3">
      <x:c r="A3" s="40"/>
      <x:c r="B3" s="40"/>
      <x:c r="C3" s="40"/>
      <x:c r="D3" s="40"/>
      <x:c r="E3" s="40"/>
      <x:c r="F3" s="40"/>
      <x:c r="G3" s="40"/>
    </x:row>
    <x:row r="4" ht="34" customHeight="1">
      <x:c r="A4" s="44" t="str">
        <x:v>Risk / Blocker</x:v>
      </x:c>
      <x:c r="B4" s="44" t="str">
        <x:v>Date / Sprint</x:v>
      </x:c>
      <x:c r="C4" s="44" t="str">
        <x:v>Owner</x:v>
      </x:c>
      <x:c r="D4" s="44" t="str">
        <x:v>Dependency</x:v>
      </x:c>
      <x:c r="E4" s="44" t="str">
        <x:v>Confidence</x:v>
      </x:c>
      <x:c r="F4" s="44" t="str">
        <x:v>Source Quote / Note</x:v>
      </x:c>
      <x:c r="G4" s="44" t="str">
        <x:v>Source Ref</x:v>
      </x:c>
    </x:row>
    <x:row r="5">
      <x:c r="A5" s="15" t="str">
        <x:v>OCP delays</x:v>
      </x:c>
      <x:c r="B5" s="15" t="str">
        <x:v>Sprint 18+</x:v>
      </x:c>
      <x:c r="C5" s="15" t="str">
        <x:v>OCP Team</x:v>
      </x:c>
      <x:c r="D5" s="15" t="str">
        <x:v>OpenShift / OCP readiness</x:v>
      </x:c>
      <x:c r="E5" s="15" t="str">
        <x:v>High</x:v>
      </x:c>
      <x:c r="F5" s="15" t="str">
        <x:v>OCP environment delays listed as high risk.</x:v>
      </x:c>
      <x:c r="G5" s="15" t="str">
        <x:v>turn1search3</x:v>
      </x:c>
    </x:row>
    <x:row r="6">
      <x:c r="A6" s="15" t="str">
        <x:v>Kafka onboarding delays</x:v>
      </x:c>
      <x:c r="B6" s="15" t="str">
        <x:v>Sprint 18+</x:v>
      </x:c>
      <x:c r="C6" s="15" t="str">
        <x:v>Kafka Team</x:v>
      </x:c>
      <x:c r="D6" s="15" t="str">
        <x:v>Kafka onboarding</x:v>
      </x:c>
      <x:c r="E6" s="15" t="str">
        <x:v>High</x:v>
      </x:c>
      <x:c r="F6" s="15" t="str">
        <x:v>Kafka onboarding delays listed as high risk.</x:v>
      </x:c>
      <x:c r="G6" s="15" t="str">
        <x:v>turn1search3</x:v>
      </x:c>
    </x:row>
    <x:row r="7">
      <x:c r="A7" s="15" t="str">
        <x:v>Architecture review approval</x:v>
      </x:c>
      <x:c r="B7" s="15" t="str">
        <x:v>Sprint 17+</x:v>
      </x:c>
      <x:c r="C7" s="15" t="str">
        <x:v>Architecture Review Process</x:v>
      </x:c>
      <x:c r="D7" s="15" t="str">
        <x:v>Architecture review</x:v>
      </x:c>
      <x:c r="E7" s="15" t="str">
        <x:v>High</x:v>
      </x:c>
      <x:c r="F7" s="15" t="str">
        <x:v>Architecture reviews listed as high risk.</x:v>
      </x:c>
      <x:c r="G7" s="15" t="str">
        <x:v>turn1search3</x:v>
      </x:c>
    </x:row>
    <x:row r="8">
      <x:c r="A8" s="15" t="str">
        <x:v>NFR approval path</x:v>
      </x:c>
      <x:c r="B8" s="15" t="str">
        <x:v>Sprints 19-23</x:v>
      </x:c>
      <x:c r="C8" s="15" t="str">
        <x:v>NFR Review Teams</x:v>
      </x:c>
      <x:c r="D8" s="15" t="str">
        <x:v>NFR execution and compliance</x:v>
      </x:c>
      <x:c r="E8" s="15" t="str">
        <x:v>High</x:v>
      </x:c>
      <x:c r="F8" s="15" t="str">
        <x:v>NFR approvals listed as high risk.</x:v>
      </x:c>
      <x:c r="G8" s="15" t="str">
        <x:v>turn1search3</x:v>
      </x:c>
    </x:row>
    <x:row r="9">
      <x:c r="A9" s="15" t="str">
        <x:v>Cross-team dependencies</x:v>
      </x:c>
      <x:c r="B9" s="15" t="str">
        <x:v>Roadmap period</x:v>
      </x:c>
      <x:c r="C9" s="15" t="str">
        <x:v>External Platform Teams</x:v>
      </x:c>
      <x:c r="D9" s="15" t="str">
        <x:v>OCP, Kafka, storage, container onboarding, access</x:v>
      </x:c>
      <x:c r="E9" s="15" t="str">
        <x:v>High</x:v>
      </x:c>
      <x:c r="F9" s="15" t="str">
        <x:v>Cross-team dependencies listed as high risk.</x:v>
      </x:c>
      <x:c r="G9" s="15" t="str">
        <x:v>turn1search3</x:v>
      </x:c>
    </x:row>
    <x:row r="10">
      <x:c r="A10" s="15" t="str">
        <x:v>Environment drift</x:v>
      </x:c>
      <x:c r="B10" s="15" t="str">
        <x:v>Sprints 21-22</x:v>
      </x:c>
      <x:c r="C10" s="15" t="str">
        <x:v>Engineering Teams</x:v>
      </x:c>
      <x:c r="D10" s="15" t="str">
        <x:v>NonProd / UAT / Prod consistency</x:v>
      </x:c>
      <x:c r="E10" s="15" t="str">
        <x:v>High</x:v>
      </x:c>
      <x:c r="F10" s="15" t="str">
        <x:v>Production has one version; UAT or non-prod may have a different version.</x:v>
      </x:c>
      <x:c r="G10" s="15" t="str">
        <x:v>turn1search3</x:v>
      </x:c>
    </x:row>
    <x:row r="11">
      <x:c r="A11" s="15" t="str">
        <x:v>Vault migration timing</x:v>
      </x:c>
      <x:c r="B11" s="15" t="str">
        <x:v>Roadmap period</x:v>
      </x:c>
      <x:c r="C11" s="15" t="str">
        <x:v>CyberArk / Vault Team</x:v>
      </x:c>
      <x:c r="D11" s="15" t="str">
        <x:v>Vault split and EPV / ARK timing</x:v>
      </x:c>
      <x:c r="E11" s="15" t="str">
        <x:v>High</x:v>
      </x:c>
      <x:c r="F11" s="15" t="str">
        <x:v>Vault migration timing unknown listed as medium risk.</x:v>
      </x:c>
      <x:c r="G11" s="15" t="str">
        <x:v>turn1search3</x:v>
      </x:c>
    </x:row>
    <x:row r="12">
      <x:c r="A12" s="15" t="str">
        <x:v>Holiday staffing / contractor availability</x:v>
      </x:c>
      <x:c r="B12" s="15" t="str">
        <x:v>Sprint 23-25 / Early January</x:v>
      </x:c>
      <x:c r="C12" s="15" t="str">
        <x:v>Leadership</x:v>
      </x:c>
      <x:c r="D12" s="15" t="str">
        <x:v>Contractor availability, support windows</x:v>
      </x:c>
      <x:c r="E12" s="15" t="str">
        <x:v>High</x:v>
      </x:c>
      <x:c r="F12" s="15" t="str">
        <x:v>Contractor availability may drop; cross-team support may become harder.</x:v>
      </x:c>
      <x:c r="G12" s="15" t="str">
        <x:v>turn1search3</x:v>
      </x:c>
    </x:row>
    <x:row r="13">
      <x:c r="A13" s="15" t="str">
        <x:v>.NET 10 upgrade / .NET Framework 4.7 exposure</x:v>
      </x:c>
      <x:c r="B13" s="15" t="str">
        <x:v>By end of September release window</x:v>
      </x:c>
      <x:c r="C13" s="15" t="str">
        <x:v>CVIS / Architecture</x:v>
      </x:c>
      <x:c r="D13" s="15" t="str">
        <x:v>Legacy apps currently on older .NET Framework versions</x:v>
      </x:c>
      <x:c r="E13" s="15" t="str">
        <x:v>High</x:v>
      </x:c>
      <x:c r="F13" s="15" t="str">
        <x:v>Many legacy apps are around .NET Framework 4.7; fixes become harder to release after the September window unless functionality is moved to Unity.</x:v>
      </x:c>
      <x:c r="G13" s="15" t="str">
        <x:v>Larry update 2026-08-16</x:v>
      </x:c>
    </x:row>
    <x:row r="14">
      <x:c r="A14" s="15" t="str">
        <x:v>RSA retirement / removal</x:v>
      </x:c>
      <x:c r="B14" s="15" t="str">
        <x:v>End of month; release after 08/25</x:v>
      </x:c>
      <x:c r="C14" s="15" t="str">
        <x:v>Yasser / CVIS Release</x:v>
      </x:c>
      <x:c r="D14" s="15" t="str">
        <x:v>Legacy apps still tied to RSA</x:v>
      </x:c>
      <x:c r="E14" s="15" t="str">
        <x:v>High</x:v>
      </x:c>
      <x:c r="F14" s="15" t="str">
        <x:v>RSA is going away by end of month; ticket assigned to Yasser for a release after the 25th to move legacy apps off RSA.</x:v>
      </x:c>
      <x:c r="G14" s="15" t="str">
        <x:v>Larry update 2026-08-16</x:v>
      </x:c>
    </x:row>
    <x:row r="15">
      <x:c r="A15" s="15" t="str">
        <x:v>CAB / CHK release governance</x:v>
      </x:c>
      <x:c r="B15" s="15" t="str">
        <x:v>Every release window</x:v>
      </x:c>
      <x:c r="C15" s="15" t="str">
        <x:v>Release Management / CVIS</x:v>
      </x:c>
      <x:c r="D15" s="15" t="str">
        <x:v>CAB and CHK tickets</x:v>
      </x:c>
      <x:c r="E15" s="15" t="str">
        <x:v>Medium</x:v>
      </x:c>
      <x:c r="F15" s="15" t="str">
        <x:v>CAB and CHK tickets must be tracked because release governance can delay deployment even when code is ready.</x:v>
      </x:c>
      <x:c r="G15" s="15" t="str">
        <x:v>Larry update 2026-08-16</x:v>
      </x:c>
    </x:row>
    <x:row r="16">
      <x:c r="A16" s="15" t="str">
        <x:v>INC / SEV production support interruption</x:v>
      </x:c>
      <x:c r="B16" s="15" t="str">
        <x:v>As incidents occur</x:v>
      </x:c>
      <x:c r="C16" s="15" t="str">
        <x:v>Production Support / CVIS</x:v>
      </x:c>
      <x:c r="D16" s="15" t="str">
        <x:v>Production incidents and SEV 1-4 response</x:v>
      </x:c>
      <x:c r="E16" s="15" t="str">
        <x:v>High</x:v>
      </x:c>
      <x:c r="F16" s="15" t="str">
        <x:v>Production incidents, INC tickets, and SEV 1-4 events can require immediate action and push planned modernization work back.</x:v>
      </x:c>
      <x:c r="G16" s="15" t="str">
        <x:v>Larry update 2026-08-16</x:v>
      </x:c>
    </x:row>
    <x:row r="17">
      <x:c r="A17" s="15" t="str">
        <x:v>Devin onboarding estimate uncertainty</x:v>
      </x:c>
      <x:c r="B17" s="15" t="str">
        <x:v>Sprint 17+</x:v>
      </x:c>
      <x:c r="C17" s="15" t="str">
        <x:v>CVIS / Devin Users</x:v>
      </x:c>
      <x:c r="D17" s="15" t="str">
        <x:v>AI-assisted development readiness</x:v>
      </x:c>
      <x:c r="E17" s="15" t="str">
        <x:v>Medium</x:v>
      </x:c>
      <x:c r="F17" s="15" t="str">
        <x:v>Devin onboarding is underway; timelines are shown without acceleration benefit until the team has evidence from usage.</x:v>
      </x:c>
      <x:c r="G17" s="15" t="str">
        <x:v>Larry update 2026-08-16</x:v>
      </x:c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  <x:row r="21">
      <x:c r="A21" s="15"/>
      <x:c r="B21" s="15"/>
      <x:c r="C21" s="15"/>
      <x:c r="D21" s="15"/>
      <x:c r="E21" s="15"/>
      <x:c r="F21" s="15"/>
      <x:c r="G21" s="15"/>
    </x:row>
    <x:row r="22">
      <x:c r="A22" s="15"/>
      <x:c r="B22" s="15"/>
      <x:c r="C22" s="15"/>
      <x:c r="D22" s="15"/>
      <x:c r="E22" s="15"/>
      <x:c r="F22" s="15"/>
      <x:c r="G22" s="15"/>
    </x:row>
    <x:row r="23">
      <x:c r="A23" s="15"/>
      <x:c r="B23" s="15"/>
      <x:c r="C23" s="15"/>
      <x:c r="D23" s="15"/>
      <x:c r="E23" s="15"/>
      <x:c r="F23" s="15"/>
      <x:c r="G23" s="15"/>
    </x:row>
    <x:row r="24">
      <x:c r="A24" s="15"/>
      <x:c r="B24" s="15"/>
      <x:c r="C24" s="15"/>
      <x:c r="D24" s="15"/>
      <x:c r="E24" s="15"/>
      <x:c r="F24" s="15"/>
      <x:c r="G24" s="15"/>
    </x:row>
  </x:sheetData>
  <x:mergeCells>
    <x:mergeCell ref="A1:G1"/>
    <x:mergeCell ref="A2:G2"/>
  </x:mergeCells>
  <x:conditionalFormatting sqref="E5:E24">
    <x:cfRule type="containsText" dxfId="46" priority="1" operator="containsText" text="High"/>
    <x:cfRule type="containsText" dxfId="47" priority="2" operator="containsText" text="Medium"/>
    <x:cfRule type="containsText" dxfId="48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0e257352204479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46" hidden="0" customWidth="1"/>
    <x:col min="7" max="7" width="42" hidden="0" customWidth="1"/>
    <x:col min="8" max="8" width="24" hidden="0" customWidth="1"/>
    <x:col min="9" max="9" width="52" hidden="0" customWidth="1"/>
    <x:col min="10" max="10" width="18" hidden="0" customWidth="1"/>
    <x:col min="11" max="11" width="18" hidden="0" customWidth="1"/>
    <x:col min="12" max="12" width="38" hidden="0" customWidth="1"/>
    <x:col min="13" max="13" width="52" hidden="0" customWidth="1"/>
  </x:cols>
  <x:sheetData>
    <x:row r="1" ht="30" customHeight="1">
      <x:c r="A1" s="38" t="str">
        <x:v>At-Risk Register</x:v>
      </x:c>
      <x:c r="B1" s="38" t="str">
        <x:v>At-Risk Register</x:v>
      </x:c>
      <x:c r="C1" s="38" t="str">
        <x:v>At-Risk Register</x:v>
      </x:c>
      <x:c r="D1" s="38" t="str">
        <x:v>At-Risk Register</x:v>
      </x:c>
      <x:c r="E1" s="38" t="str">
        <x:v>At-Risk Register</x:v>
      </x:c>
      <x:c r="F1" s="38" t="str">
        <x:v>At-Risk Register</x:v>
      </x:c>
      <x:c r="G1" s="38" t="str">
        <x:v>At-Risk Register</x:v>
      </x:c>
      <x:c r="H1" s="38" t="str">
        <x:v>At-Risk Register</x:v>
      </x:c>
      <x:c r="I1" s="38" t="str">
        <x:v>At-Risk Register</x:v>
      </x:c>
      <x:c r="J1" s="38" t="str">
        <x:v>At-Risk Register</x:v>
      </x:c>
      <x:c r="K1" s="38" t="str">
        <x:v>At-Risk Register</x:v>
      </x:c>
      <x:c r="L1" s="38" t="str">
        <x:v>At-Risk Register</x:v>
      </x:c>
      <x:c r="M1" s="38" t="str">
        <x:v>At-Risk Register</x:v>
      </x:c>
    </x:row>
    <x:row r="2" ht="34" customHeight="1">
      <x:c r="A2" s="39" t="str">
        <x:v>Explain every yellow/red item with the date it became risky, the reason, the action plan, and the leadership ask.</x:v>
      </x:c>
      <x:c r="B2" s="39" t="str">
        <x:v>Explain every yellow/red item with the date it became risky, the reason, the action plan, and the leadership ask.</x:v>
      </x:c>
      <x:c r="C2" s="39" t="str">
        <x:v>Explain every yellow/red item with the date it became risky, the reason, the action plan, and the leadership ask.</x:v>
      </x:c>
      <x:c r="D2" s="39" t="str">
        <x:v>Explain every yellow/red item with the date it became risky, the reason, the action plan, and the leadership ask.</x:v>
      </x:c>
      <x:c r="E2" s="39" t="str">
        <x:v>Explain every yellow/red item with the date it became risky, the reason, the action plan, and the leadership ask.</x:v>
      </x:c>
      <x:c r="F2" s="39" t="str">
        <x:v>Explain every yellow/red item with the date it became risky, the reason, the action plan, and the leadership ask.</x:v>
      </x:c>
      <x:c r="G2" s="39" t="str">
        <x:v>Explain every yellow/red item with the date it became risky, the reason, the action plan, and the leadership ask.</x:v>
      </x:c>
      <x:c r="H2" s="39" t="str">
        <x:v>Explain every yellow/red item with the date it became risky, the reason, the action plan, and the leadership ask.</x:v>
      </x:c>
      <x:c r="I2" s="39" t="str">
        <x:v>Explain every yellow/red item with the date it became risky, the reason, the action plan, and the leadership ask.</x:v>
      </x:c>
      <x:c r="J2" s="39" t="str">
        <x:v>Explain every yellow/red item with the date it became risky, the reason, the action plan, and the leadership ask.</x:v>
      </x:c>
      <x:c r="K2" s="39" t="str">
        <x:v>Explain every yellow/red item with the date it became risky, the reason, the action plan, and the leadership ask.</x:v>
      </x:c>
      <x:c r="L2" s="39" t="str">
        <x:v>Explain every yellow/red item with the date it became risky, the reason, the action plan, and the leadership ask.</x:v>
      </x:c>
      <x:c r="M2" s="39" t="str">
        <x:v>Explain every yellow/red item with the date it became risky, the reason, the action plan, and the leadership ask.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</x:row>
    <x:row r="4" ht="34" customHeight="1">
      <x:c r="A4" s="44" t="str">
        <x:v>Item</x:v>
      </x:c>
      <x:c r="B4" s="44" t="str">
        <x:v>Current RYG</x:v>
      </x:c>
      <x:c r="C4" s="44" t="str">
        <x:v>Date Turned Yellow/Red</x:v>
      </x:c>
      <x:c r="D4" s="44" t="str">
        <x:v>Original Target Date</x:v>
      </x:c>
      <x:c r="E4" s="44" t="str">
        <x:v>Revised Target Date</x:v>
      </x:c>
      <x:c r="F4" s="44" t="str">
        <x:v>Reason</x:v>
      </x:c>
      <x:c r="G4" s="44" t="str">
        <x:v>Impact</x:v>
      </x:c>
      <x:c r="H4" s="44" t="str">
        <x:v>Owner</x:v>
      </x:c>
      <x:c r="I4" s="44" t="str">
        <x:v>Action Plan</x:v>
      </x:c>
      <x:c r="J4" s="44" t="str">
        <x:v>Next Action Date</x:v>
      </x:c>
      <x:c r="K4" s="44" t="str">
        <x:v>Recovery Date</x:v>
      </x:c>
      <x:c r="L4" s="44" t="str">
        <x:v>Leadership Ask</x:v>
      </x:c>
      <x:c r="M4" s="44" t="str">
        <x:v>Evidence / Notes</x:v>
      </x:c>
    </x:row>
    <x:row r="5">
      <x:c r="A5" s="15" t="str">
        <x:v>Infrastructure Received</x:v>
      </x:c>
      <x:c r="B5" s="15" t="str">
        <x:v>Yellow</x:v>
      </x:c>
      <x:c r="C5" s="20" t="n">
        <x:v>46174</x:v>
      </x:c>
      <x:c r="D5" s="20" t="n">
        <x:v>46173</x:v>
      </x:c>
      <x:c r="E5" s="20" t="str">
        <x:v>Need confirmation</x:v>
      </x:c>
      <x:c r="F5" s="15" t="str">
        <x:v>Actual infrastructure received date is still unknown.</x:v>
      </x:c>
      <x:c r="G5" s="15" t="str">
        <x:v>Cannot prove environment readiness or defend downstream dates.</x:v>
      </x:c>
      <x:c r="H5" s="15" t="str">
        <x:v>Migration source / CVIS</x:v>
      </x:c>
      <x:c r="I5" s="15" t="str">
        <x:v>Confirm actual infrastructure received date and attach evidence.</x:v>
      </x:c>
      <x:c r="J5" s="20" t="n">
        <x:v>46252</x:v>
      </x:c>
      <x:c r="K5" s="20"/>
      <x:c r="L5" s="15" t="str">
        <x:v>Help obtain the authoritative infrastructure status/date.</x:v>
      </x:c>
      <x:c r="M5" s="15" t="str">
        <x:v>Meeting extraction: actual infrastructure received listed as unknown.</x:v>
      </x:c>
    </x:row>
    <x:row r="6">
      <x:c r="A6" s="15" t="str">
        <x:v>Non-Production</x:v>
      </x:c>
      <x:c r="B6" s="15" t="str">
        <x:v>Red</x:v>
      </x:c>
      <x:c r="C6" s="20" t="n">
        <x:v>46235</x:v>
      </x:c>
      <x:c r="D6" s="20" t="n">
        <x:v>46234</x:v>
      </x:c>
      <x:c r="E6" s="20" t="str">
        <x:v>Need revised date</x:v>
      </x:c>
      <x:c r="F6" s="15" t="str">
        <x:v>Original non-prod date was missed after PtB/modernization path assumptions changed.</x:v>
      </x:c>
      <x:c r="G6" s="15" t="str">
        <x:v>Blocks validation of Unity platform in intended environment.</x:v>
      </x:c>
      <x:c r="H6" s="15" t="str">
        <x:v>CVIS / Platform</x:v>
      </x:c>
      <x:c r="I6" s="15" t="str">
        <x:v>Re-baseline non-prod date after OCP/Kubernetes, access, and PtB package status are confirmed.</x:v>
      </x:c>
      <x:c r="J6" s="20" t="n">
        <x:v>46254</x:v>
      </x:c>
      <x:c r="K6" s="20"/>
      <x:c r="L6" s="15" t="str">
        <x:v>Confirm whether non-prod date can be committed or must remain forecast.</x:v>
      </x:c>
      <x:c r="M6" s="15" t="str">
        <x:v>Brad is likely to ask why original non-prod was missed.</x:v>
      </x:c>
    </x:row>
    <x:row r="7">
      <x:c r="A7" s="15" t="str">
        <x:v>Pre-Production</x:v>
      </x:c>
      <x:c r="B7" s="15" t="str">
        <x:v>Yellow</x:v>
      </x:c>
      <x:c r="C7" s="20" t="n">
        <x:v>46249</x:v>
      </x:c>
      <x:c r="D7" s="20" t="n">
        <x:v>46265</x:v>
      </x:c>
      <x:c r="E7" s="20" t="str">
        <x:v>Proposed 2026-10-31 discussed</x:v>
      </x:c>
      <x:c r="F7" s="15" t="str">
        <x:v>Pre-prod date depends on non-prod validation, NFR completion, and environment consistency.</x:v>
      </x:c>
      <x:c r="G7" s="15" t="str">
        <x:v>Could compress production validation window if non-prod slips.</x:v>
      </x:c>
      <x:c r="H7" s="15" t="str">
        <x:v>CVIS / Testing</x:v>
      </x:c>
      <x:c r="I7" s="15" t="str">
        <x:v>Validate pre-prod date with team and tie it to specific exit criteria.</x:v>
      </x:c>
      <x:c r="J7" s="20" t="n">
        <x:v>46256</x:v>
      </x:c>
      <x:c r="K7" s="20" t="n">
        <x:v>46326</x:v>
      </x:c>
      <x:c r="L7" s="15" t="str">
        <x:v>Approve revised date only after validation evidence is documented.</x:v>
      </x:c>
      <x:c r="M7" s="15" t="str">
        <x:v>Screenshot notes: proposed 10/31/2026 discussed; needs validation.</x:v>
      </x:c>
    </x:row>
    <x:row r="8">
      <x:c r="A8" s="15" t="str">
        <x:v>Production Go-Live</x:v>
      </x:c>
      <x:c r="B8" s="15" t="str">
        <x:v>Red</x:v>
      </x:c>
      <x:c r="C8" s="20" t="n">
        <x:v>46249</x:v>
      </x:c>
      <x:c r="D8" s="20" t="n">
        <x:v>46287</x:v>
      </x:c>
      <x:c r="E8" s="20" t="str">
        <x:v>Need revised date</x:v>
      </x:c>
      <x:c r="F8" s="15" t="str">
        <x:v>Production date depends on full vs phased go-live decision, holidays, contractor availability, and external dependencies.</x:v>
      </x:c>
      <x:c r="G8" s="15" t="str">
        <x:v>Original date is no longer defensible without an approved recovery plan.</x:v>
      </x:c>
      <x:c r="H8" s="15" t="str">
        <x:v>Leadership / CVIS</x:v>
      </x:c>
      <x:c r="I8" s="15" t="str">
        <x:v>Present early January as defensible target with Sprint 25 as optimistic stretch if dependencies clear.</x:v>
      </x:c>
      <x:c r="J8" s="20" t="n">
        <x:v>46259</x:v>
      </x:c>
      <x:c r="K8" s="20"/>
      <x:c r="L8" s="15" t="str">
        <x:v>Decision on planning target and whether rollout is phased.</x:v>
      </x:c>
      <x:c r="M8" s="15" t="str">
        <x:v>Meeting notes: early January described as most defensible target.</x:v>
      </x:c>
    </x:row>
    <x:row r="9">
      <x:c r="A9" s="15" t="str">
        <x:v>Permit to Build Package</x:v>
      </x:c>
      <x:c r="B9" s="15" t="str">
        <x:v>Red</x:v>
      </x:c>
      <x:c r="C9" s="20" t="n">
        <x:v>46235</x:v>
      </x:c>
      <x:c r="D9" s="20" t="n">
        <x:v>46234</x:v>
      </x:c>
      <x:c r="E9" s="20" t="str">
        <x:v>2026-08-19 to early Sprint 18</x:v>
      </x:c>
      <x:c r="F9" s="15" t="str">
        <x:v>PtB was expected by the end of July and was missed. The plan now needs to show the revised path, target-state architecture, and execution window.</x:v>
      </x:c>
      <x:c r="G9" s="15" t="str">
        <x:v>All downstream timeline dates are pushed because the gating approval moved.</x:v>
      </x:c>
      <x:c r="H9" s="15" t="str">
        <x:v>TBD / Architecture</x:v>
      </x:c>
      <x:c r="I9" s="15" t="str">
        <x:v>Present architecture updates Monday, capture any requested revisions, then seek PtB approval when Architecture can schedule the review slot.</x:v>
      </x:c>
      <x:c r="J9" s="20" t="n">
        <x:v>46253</x:v>
      </x:c>
      <x:c r="K9" s="20"/>
      <x:c r="L9" s="15" t="str">
        <x:v>Confirm PtB owner, review slot, and whether approval can happen Wednesday, next week, or early Sprint 18.</x:v>
      </x:c>
      <x:c r="M9" s="15" t="str">
        <x:v>Larry update: PtB missed end-of-July target; expected approval window is Wed through next week / early next sprint.</x:v>
      </x:c>
    </x:row>
    <x:row r="10">
      <x:c r="A10" s="15" t="str">
        <x:v>BCP Test Exception</x:v>
      </x:c>
      <x:c r="B10" s="15" t="str">
        <x:v>Red</x:v>
      </x:c>
      <x:c r="C10" s="20" t="n">
        <x:v>46250</x:v>
      </x:c>
      <x:c r="D10" s="20"/>
      <x:c r="E10" s="20" t="str">
        <x:v>Exception required</x:v>
      </x:c>
      <x:c r="F10" s="15" t="str">
        <x:v>Because PtB and modernization dates slipped, the planned BCP test target cannot be met.</x:v>
      </x:c>
      <x:c r="G10" s="15" t="str">
        <x:v>Without an exception, the team may appear noncompliant even though the blocker is tied to the re-baselined migration path.</x:v>
      </x:c>
      <x:c r="H10" s="15" t="str">
        <x:v>CVIS / Governance</x:v>
      </x:c>
      <x:c r="I10" s="15" t="str">
        <x:v>Submit or prepare BCP exception with cause, revised milestone path, and control plan.</x:v>
      </x:c>
      <x:c r="J10" s="20" t="n">
        <x:v>46254</x:v>
      </x:c>
      <x:c r="K10" s="20"/>
      <x:c r="L10" s="15" t="str">
        <x:v>Approve/route BCP exception or identify required evidence.</x:v>
      </x:c>
      <x:c r="M10" s="15" t="str">
        <x:v>Larry update: BCP test will not be met and an exception is required.</x:v>
      </x:c>
    </x:row>
    <x:row r="11">
      <x:c r="A11" s="15" t="str">
        <x:v>PtB-Gated Resource Requests</x:v>
      </x:c>
      <x:c r="B11" s="15" t="str">
        <x:v>Yellow</x:v>
      </x:c>
      <x:c r="C11" s="20" t="n">
        <x:v>46250</x:v>
      </x:c>
      <x:c r="D11" s="20"/>
      <x:c r="E11" s="20" t="str">
        <x:v>Submit immediately after PtB approval</x:v>
      </x:c>
      <x:c r="F11" s="15" t="str">
        <x:v>Container and Apigee/API resource requests cannot be submitted until PtB approval is received.</x:v>
      </x:c>
      <x:c r="G11" s="15" t="str">
        <x:v>Resource lead time cannot formally start until the PtB gate clears, which affects container onboarding, API exposure, and DB-facing API work.</x:v>
      </x:c>
      <x:c r="H11" s="15" t="str">
        <x:v>CVIS / Matthew Burger</x:v>
      </x:c>
      <x:c r="I11" s="15" t="str">
        <x:v>Keep request packages ready; after Monday architecture review and any revisions, schedule PtB and submit container/Apigee requests as soon as approval clears.</x:v>
      </x:c>
      <x:c r="J11" s="20" t="n">
        <x:v>46253</x:v>
      </x:c>
      <x:c r="K11" s="20"/>
      <x:c r="L11" s="15" t="str">
        <x:v>Help secure PtB review slot and allow immediate resource intake after approval.</x:v>
      </x:c>
      <x:c r="M11" s="15" t="str">
        <x:v>Larry update: Larry and Matthew have already set up the path; remaining step is architecture review/revisions and PtB approval.</x:v>
      </x:c>
    </x:row>
    <x:row r="12">
      <x:c r="A12" s="15" t="str">
        <x:v>DB / SSIS Consumer Coordination</x:v>
      </x:c>
      <x:c r="B12" s="15" t="str">
        <x:v>Yellow</x:v>
      </x:c>
      <x:c r="C12" s="20" t="n">
        <x:v>46250</x:v>
      </x:c>
      <x:c r="D12" s="20"/>
      <x:c r="E12" s="20" t="str">
        <x:v>Notify ESAR and MCC</x:v>
      </x:c>
      <x:c r="F12" s="15" t="str">
        <x:v>Two SSIS connections/packages consume CVIS data: one owned by ESAR and one by MCC. They need notice of the DB/API transition.</x:v>
      </x:c>
      <x:c r="G12" s="15" t="str">
        <x:v>If consumers are not notified, downstream reporting or data consumers may be surprised by the modernization/API change.</x:v>
      </x:c>
      <x:c r="H12" s="15" t="str">
        <x:v>CVIS / ESAR / MCC</x:v>
      </x:c>
      <x:c r="I12" s="15" t="str">
        <x:v>Notify both package owners, capture their remediation plans, and show the go-forward DB access path through Apigee/API in the architecture documents.</x:v>
      </x:c>
      <x:c r="J12" s="20" t="n">
        <x:v>46254</x:v>
      </x:c>
      <x:c r="K12" s="20"/>
      <x:c r="L12" s="15" t="str">
        <x:v>Support cross-team notification if either package owner needs escalation.</x:v>
      </x:c>
      <x:c r="M12" s="15" t="str">
        <x:v>Larry update: ESAR and MCC own the SSIS packages and have indicated plans to fix their side.</x:v>
      </x:c>
    </x:row>
    <x:row r="13">
      <x:c r="A13" s="15" t="str">
        <x:v>OCP / Kubernetes Foundation</x:v>
      </x:c>
      <x:c r="B13" s="15" t="str">
        <x:v>Yellow</x:v>
      </x:c>
      <x:c r="C13" s="20" t="n">
        <x:v>46249</x:v>
      </x:c>
      <x:c r="D13" s="20"/>
      <x:c r="E13" s="20" t="str">
        <x:v>Sprint 18 dependency</x:v>
      </x:c>
      <x:c r="F13" s="15" t="str">
        <x:v>Unity cannot prove modernization model until it runs in intended container environment.</x:v>
      </x:c>
      <x:c r="G13" s="15" t="str">
        <x:v>Delays platform proof, non-prod validation, and application wave confidence.</x:v>
      </x:c>
      <x:c r="H13" s="15" t="str">
        <x:v>Platform Team / CVIS</x:v>
      </x:c>
      <x:c r="I13" s="15" t="str">
        <x:v>Prepare access/onboarding request package now; submit after PtB approval and track environment readiness evidence.</x:v>
      </x:c>
      <x:c r="J13" s="20" t="n">
        <x:v>46253</x:v>
      </x:c>
      <x:c r="K13" s="20"/>
      <x:c r="L13" s="15" t="str">
        <x:v>Prioritize PtB approval and onboarding support once resource requests are allowed.</x:v>
      </x:c>
      <x:c r="M13" s="15" t="str">
        <x:v>High-risk external dependency in notes; Larry clarified container requests are PtB-gated.</x:v>
      </x:c>
    </x:row>
    <x:row r="14">
      <x:c r="A14" s="15" t="str">
        <x:v>Kafka Onboarding</x:v>
      </x:c>
      <x:c r="B14" s="15" t="str">
        <x:v>Yellow</x:v>
      </x:c>
      <x:c r="C14" s="20" t="n">
        <x:v>46249</x:v>
      </x:c>
      <x:c r="D14" s="20"/>
      <x:c r="E14" s="20" t="str">
        <x:v>Sprint 18+ dependency</x:v>
      </x:c>
      <x:c r="F14" s="15" t="str">
        <x:v>Messaging/event streaming setup is required for Unity workflow and orchestration patterns.</x:v>
      </x:c>
      <x:c r="G14" s="15" t="str">
        <x:v>Can block reusable platform capability even if code is ready.</x:v>
      </x:c>
      <x:c r="H14" s="15" t="str">
        <x:v>Kafka Team / CVIS</x:v>
      </x:c>
      <x:c r="I14" s="15" t="str">
        <x:v>Submit KES access, AD group requests, topic permissions, and connectivity validation.</x:v>
      </x:c>
      <x:c r="J14" s="20" t="n">
        <x:v>46254</x:v>
      </x:c>
      <x:c r="K14" s="20"/>
      <x:c r="L14" s="15" t="str">
        <x:v>Support Kafka onboarding if request stalls.</x:v>
      </x:c>
      <x:c r="M14" s="15" t="str">
        <x:v>Platform onboarding task list from Matthew.</x:v>
      </x:c>
    </x:row>
    <x:row r="15">
      <x:c r="A15" s="15" t="str">
        <x:v>NFR Approval Path</x:v>
      </x:c>
      <x:c r="B15" s="15" t="str">
        <x:v>Yellow</x:v>
      </x:c>
      <x:c r="C15" s="20" t="n">
        <x:v>46249</x:v>
      </x:c>
      <x:c r="D15" s="20"/>
      <x:c r="E15" s="20" t="str">
        <x:v>Sprints 19-23 execution</x:v>
      </x:c>
      <x:c r="F15" s="15" t="str">
        <x:v>NFRs can block modernization even after code is ready.</x:v>
      </x:c>
      <x:c r="G15" s="15" t="str">
        <x:v>Without NFR evidence, production approval remains at risk.</x:v>
      </x:c>
      <x:c r="H15" s="15" t="str">
        <x:v>CVIS / NFR Review</x:v>
      </x:c>
      <x:c r="I15" s="15" t="str">
        <x:v>Track NFRs centrally at platform level and show which apps inherit the controls.</x:v>
      </x:c>
      <x:c r="J15" s="20" t="n">
        <x:v>46256</x:v>
      </x:c>
      <x:c r="K15" s="20"/>
      <x:c r="L15" s="15" t="str">
        <x:v>Confirm NFR review path and required evidence.</x:v>
      </x:c>
      <x:c r="M15" s="15" t="str">
        <x:v>Meeting notes identify NFRs as one of the biggest blockers.</x:v>
      </x:c>
    </x:row>
    <x:row r="16">
      <x:c r="A16" s="15" t="str">
        <x:v>Environment Drift</x:v>
      </x:c>
      <x:c r="B16" s="15" t="str">
        <x:v>Yellow</x:v>
      </x:c>
      <x:c r="C16" s="20" t="n">
        <x:v>46249</x:v>
      </x:c>
      <x:c r="D16" s="20"/>
      <x:c r="E16" s="20"/>
      <x:c r="F16" s="15" t="str">
        <x:v>Production, UAT, and non-prod may not be on the same version or config.</x:v>
      </x:c>
      <x:c r="G16" s="15" t="str">
        <x:v>Testing may pass in one environment and fail in production.</x:v>
      </x:c>
      <x:c r="H16" s="15" t="str">
        <x:v>Engineering / Release</x:v>
      </x:c>
      <x:c r="I16" s="15" t="str">
        <x:v>Add environment consistency checks and promotion gates for Dev -&gt; NonProd -&gt; PreProd -&gt; Production.</x:v>
      </x:c>
      <x:c r="J16" s="20" t="n">
        <x:v>46256</x:v>
      </x:c>
      <x:c r="K16" s="20"/>
      <x:c r="L16" s="15" t="str">
        <x:v>Support release discipline and environment alignment.</x:v>
      </x:c>
      <x:c r="M16" s="15" t="str">
        <x:v>Meeting notes: environment drift was a key validation risk.</x:v>
      </x:c>
    </x:row>
    <x:row r="17">
      <x:c r="A17" s="15" t="str">
        <x:v>Application Rationalization</x:v>
      </x:c>
      <x:c r="B17" s="15" t="str">
        <x:v>Yellow</x:v>
      </x:c>
      <x:c r="C17" s="20" t="n">
        <x:v>46249</x:v>
      </x:c>
      <x:c r="D17" s="20"/>
      <x:c r="E17" s="20" t="n">
        <x:v>46254</x:v>
      </x:c>
      <x:c r="F17" s="15" t="str">
        <x:v>42 screenshot-derived rows need owner validation.</x:v>
      </x:c>
      <x:c r="G17" s="15" t="str">
        <x:v>Phase 1 scope cannot be defended until customer-facing vs internal support tools are separated.</x:v>
      </x:c>
      <x:c r="H17" s="15" t="str">
        <x:v>CVIS Team</x:v>
      </x:c>
      <x:c r="I17" s="15" t="str">
        <x:v>Send rapid rationalization ask to owners: business function, users, phase, owner, complexity, disposition.</x:v>
      </x:c>
      <x:c r="J17" s="20" t="n">
        <x:v>46252</x:v>
      </x:c>
      <x:c r="K17" s="20" t="n">
        <x:v>46254</x:v>
      </x:c>
      <x:c r="L17" s="15" t="str">
        <x:v>Help enforce quick turnaround on owner responses.</x:v>
      </x:c>
      <x:c r="M17" s="15" t="str">
        <x:v>Inventory loaded from screenshots; uncertain fields marked for validation.</x:v>
      </x:c>
    </x:row>
    <x:row r="18">
      <x:c r="A18" s="15" t="str">
        <x:v>.NET 10 / Legacy .NET 4.7 Upgrade Pressure</x:v>
      </x:c>
      <x:c r="B18" s="15" t="str">
        <x:v>Yellow</x:v>
      </x:c>
      <x:c r="C18" s="20" t="n">
        <x:v>46250</x:v>
      </x:c>
      <x:c r="D18" s="20" t="n">
        <x:v>46295</x:v>
      </x:c>
      <x:c r="E18" s="20" t="str">
        <x:v>Move to Unity before release window closes</x:v>
      </x:c>
      <x:c r="F18" s="15" t="str">
        <x:v>Many legacy apps are on older .NET Framework versions, including 4.7-era code, which increases support risk, security/compliance exposure, and release difficulty.</x:v>
      </x:c>
      <x:c r="G18" s="15" t="str">
        <x:v>If fixes are needed after the end-of-September window, the team may be constrained unless the affected capability is already running on Unity.</x:v>
      </x:c>
      <x:c r="H18" s="15" t="str">
        <x:v>CVIS / Architecture</x:v>
      </x:c>
      <x:c r="I18" s="15" t="str">
        <x:v>Prioritize Phase 1 legacy capabilities for Unity migration, identify any .NET 4.7 applications that could require near-term fixes, and avoid leaving high-use tools stranded on the old stack.</x:v>
      </x:c>
      <x:c r="J18" s="20" t="n">
        <x:v>46254</x:v>
      </x:c>
      <x:c r="K18" s="20"/>
      <x:c r="L18" s="15" t="str">
        <x:v>Support urgency of Unity migration before release constraint hardens.</x:v>
      </x:c>
      <x:c r="M18" s="15" t="str">
        <x:v>Larry update: cannot release fixes for legacy apps after end of September; move to Unity ASAP.</x:v>
      </x:c>
    </x:row>
    <x:row r="19">
      <x:c r="A19" s="15" t="str">
        <x:v>RSA Retirement Release</x:v>
      </x:c>
      <x:c r="B19" s="15" t="str">
        <x:v>Yellow</x:v>
      </x:c>
      <x:c r="C19" s="20" t="n">
        <x:v>46250</x:v>
      </x:c>
      <x:c r="D19" s="20" t="n">
        <x:v>46265</x:v>
      </x:c>
      <x:c r="E19" s="20" t="str">
        <x:v>Release after 08/25</x:v>
      </x:c>
      <x:c r="F19" s="15" t="str">
        <x:v>RSA is being retired by end of month and legacy apps need a release to remove RSA dependency.</x:v>
      </x:c>
      <x:c r="G19" s="15" t="str">
        <x:v>Can consume release/support capacity and may become a production blocker if legacy applications remain dependent on RSA.</x:v>
      </x:c>
      <x:c r="H19" s="15" t="str">
        <x:v>Yasser / CVIS Release</x:v>
      </x:c>
      <x:c r="I19" s="15" t="str">
        <x:v>Track Yasser's assigned ticket, confirm CAB/CHK path, and validate release completion after the 25th.</x:v>
      </x:c>
      <x:c r="J19" s="20" t="n">
        <x:v>46259</x:v>
      </x:c>
      <x:c r="K19" s="20"/>
      <x:c r="L19" s="15" t="str">
        <x:v>Escalate if RSA removal release is blocked or missing approval.</x:v>
      </x:c>
      <x:c r="M19" s="15" t="str">
        <x:v>Larry update: RSA going away; ticket assigned to Yasser for release after the 25th.</x:v>
      </x:c>
    </x:row>
    <x:row r="20">
      <x:c r="A20" s="15" t="str">
        <x:v>CAB / CHK Governance</x:v>
      </x:c>
      <x:c r="B20" s="15" t="str">
        <x:v>Yellow</x:v>
      </x:c>
      <x:c r="C20" s="20" t="n">
        <x:v>46250</x:v>
      </x:c>
      <x:c r="D20" s="20"/>
      <x:c r="E20" s="20" t="str">
        <x:v>Missing release-control tracking</x:v>
      </x:c>
      <x:c r="F20" s="15" t="str">
        <x:v>CAB and CHK tickets are required for releases and need to be tracked with the modernization plan.</x:v>
      </x:c>
      <x:c r="G20" s="15" t="str">
        <x:v>A planned delivery can slip even after development is ready if release governance is incomplete.</x:v>
      </x:c>
      <x:c r="H20" s="15" t="str">
        <x:v>Release Management / CVIS</x:v>
      </x:c>
      <x:c r="I20" s="15" t="str">
        <x:v>Add CAB/CHK fields to intake tracking and require ticket IDs for release-facing milestones.</x:v>
      </x:c>
      <x:c r="J20" s="20" t="n">
        <x:v>46254</x:v>
      </x:c>
      <x:c r="K20" s="20"/>
      <x:c r="L20" s="15" t="str">
        <x:v>Help unblock CAB/CHK approvals when needed.</x:v>
      </x:c>
      <x:c r="M20" s="15" t="str">
        <x:v>Larry update: CAB and CHK tickets were missing from tracking.</x:v>
      </x:c>
    </x:row>
    <x:row r="21">
      <x:c r="A21" s="15" t="str">
        <x:v>INC / SEV Production Interruptions</x:v>
      </x:c>
      <x:c r="B21" s="15" t="str">
        <x:v>Yellow</x:v>
      </x:c>
      <x:c r="C21" s="20" t="n">
        <x:v>46250</x:v>
      </x:c>
      <x:c r="D21" s="20"/>
      <x:c r="E21" s="20" t="str">
        <x:v>Operational interruption risk</x:v>
      </x:c>
      <x:c r="F21" s="15" t="str">
        <x:v>INC tickets and SEV 1-4 production events can require immediate attention for production apps.</x:v>
      </x:c>
      <x:c r="G21" s="15" t="str">
        <x:v>Incident response can pull the same people away from modernization and push sprint deliverables back.</x:v>
      </x:c>
      <x:c r="H21" s="15" t="str">
        <x:v>Production Support / CVIS</x:v>
      </x:c>
      <x:c r="I21" s="15" t="str">
        <x:v>Track production-support interruptions as schedule-impact events with date, severity, owner, and recovery action.</x:v>
      </x:c>
      <x:c r="J21" s="20" t="n">
        <x:v>46254</x:v>
      </x:c>
      <x:c r="K21" s="20"/>
      <x:c r="L21" s="15" t="str">
        <x:v>Recognize incident response as a valid schedule-impact driver.</x:v>
      </x:c>
      <x:c r="M21" s="15" t="str">
        <x:v>Larry update: production INC and SEV 1-4 work can push schedule back.</x:v>
      </x:c>
    </x:row>
    <x:row r="22">
      <x:c r="A22" s="15" t="str">
        <x:v>Jira Coverage / Missing Ticket Evidence</x:v>
      </x:c>
      <x:c r="B22" s="15" t="str">
        <x:v>Yellow</x:v>
      </x:c>
      <x:c r="C22" s="20" t="n">
        <x:v>46250</x:v>
      </x:c>
      <x:c r="D22" s="20"/>
      <x:c r="E22" s="20" t="str">
        <x:v>Ticket coverage gap review</x:v>
      </x:c>
      <x:c r="F22" s="15" t="str">
        <x:v>Jira screenshots show work evidence, but the plan still needs to prove which items have tickets, owners, sprint targets, estimates, and dependencies.</x:v>
      </x:c>
      <x:c r="G22" s="15" t="str">
        <x:v>If work is not represented clearly in Jira, leadership may challenge the dates because estimates are not traceable to execution coverage.</x:v>
      </x:c>
      <x:c r="H22" s="15" t="str">
        <x:v>CVIS / Team Owners</x:v>
      </x:c>
      <x:c r="I22" s="15" t="str">
        <x:v>Populate Jira Coverage from screenshots/export, then use Ticket Gaps for missing ticket, missing estimate, needs split, dependency blocked, CAB/CHK, INC, or SEV items.</x:v>
      </x:c>
      <x:c r="J22" s="20" t="n">
        <x:v>46253</x:v>
      </x:c>
      <x:c r="K22" s="20"/>
      <x:c r="L22" s="15" t="str">
        <x:v>Support team follow-up to close ticket gaps before committing dates.</x:v>
      </x:c>
      <x:c r="M22" s="15" t="str">
        <x:v>JiraTickets(1).zip contains 78 screenshots; actual YAML/CSV export would improve import accuracy.</x:v>
      </x:c>
    </x:row>
    <x:row r="23">
      <x:c r="A23" s="15" t="str">
        <x:v>Thanksgiving / December Staffing Window</x:v>
      </x:c>
      <x:c r="B23" s="15" t="str">
        <x:v>Yellow</x:v>
      </x:c>
      <x:c r="C23" s="20" t="n">
        <x:v>46250</x:v>
      </x:c>
      <x:c r="D23" s="20" t="n">
        <x:v>46349</x:v>
      </x:c>
      <x:c r="E23" s="20" t="str">
        <x:v>Holiday and contractor furlough risk</x:v>
      </x:c>
      <x:c r="F23" s="15" t="str">
        <x:v>Thanksgiving week and the last two weeks of December have lower availability; contractor furloughs may reduce execution/support capacity.</x:v>
      </x:c>
      <x:c r="G23" s="15" t="str">
        <x:v>Late-year go-live or dependency-heavy work may slip if it relies on unavailable people or external teams.</x:v>
      </x:c>
      <x:c r="H23" s="15" t="str">
        <x:v>Leadership / CVIS</x:v>
      </x:c>
      <x:c r="I23" s="15" t="str">
        <x:v>Align late-year work so available team members can complete independent tasks; avoid dependency-heavy releases during low-coverage windows.</x:v>
      </x:c>
      <x:c r="J23" s="20" t="n">
        <x:v>46259</x:v>
      </x:c>
      <x:c r="K23" s="20"/>
      <x:c r="L23" s="15" t="str">
        <x:v>Support schedule planning around known staffing constraints.</x:v>
      </x:c>
      <x:c r="M23" s="15" t="str">
        <x:v>Larry update: Thanksgiving and last two December weeks are staffing risks.</x:v>
      </x:c>
    </x:row>
    <x:row r="24">
      <x:c r="A24" s="15" t="str">
        <x:v>Devin Onboarding / AI Acceleration</x:v>
      </x:c>
      <x:c r="B24" s="15" t="str">
        <x:v>Yellow</x:v>
      </x:c>
      <x:c r="C24" s="20" t="n">
        <x:v>46250</x:v>
      </x:c>
      <x:c r="D24" s="20"/>
      <x:c r="E24" s="20" t="str">
        <x:v>Estimate normally; treat acceleration as upside</x:v>
      </x:c>
      <x:c r="F24" s="15" t="str">
        <x:v>Devin onboarding is underway, but estimating an improvement factor before using the tool would create unsupported deadlines.</x:v>
      </x:c>
      <x:c r="G24" s="15" t="str">
        <x:v>Timelines may improve later, but current executive dates should remain defensible without unproven AI productivity gains.</x:v>
      </x:c>
      <x:c r="H24" s="15" t="str">
        <x:v>CVIS / Devin Users</x:v>
      </x:c>
      <x:c r="I24" s="15" t="str">
        <x:v>Estimate work using normal delivery assumptions. If Devin improves throughput, reduce the timeline in weekly/sprint reporting after measured evidence exists.</x:v>
      </x:c>
      <x:c r="J24" s="20" t="n">
        <x:v>46254</x:v>
      </x:c>
      <x:c r="K24" s="20"/>
      <x:c r="L24" s="15" t="str">
        <x:v>Support onboarding and measure actual acceleration before committing to shorter dates.</x:v>
      </x:c>
      <x:c r="M24" s="15" t="str">
        <x:v>Larry update: estimate normally; any Devin improvement becomes measured upside, not a starting assumption.</x:v>
      </x:c>
    </x:row>
  </x:sheetData>
  <x:mergeCells>
    <x:mergeCell ref="A1:M1"/>
    <x:mergeCell ref="A2:M2"/>
  </x:mergeCells>
  <x:conditionalFormatting sqref="B5:B24">
    <x:cfRule type="containsText" dxfId="49" priority="1" operator="containsText" text="Green"/>
    <x:cfRule type="containsText" dxfId="50" priority="2" operator="containsText" text="Yellow"/>
    <x:cfRule type="containsText" dxfId="51" priority="3" operator="containsText" text="Red"/>
  </x:conditionalFormatting>
  <x:dataValidations count="1">
    <x:dataValidation type="list" sqref="B5:B24">
      <x:formula1>'Assumptions'!$S$27:$S$29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35a5306ec84121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2" hidden="0" customWidth="1"/>
    <x:col min="4" max="4" width="42" hidden="0" customWidth="1"/>
    <x:col min="5" max="5" width="13" hidden="0" customWidth="1"/>
    <x:col min="6" max="6" width="18" hidden="0" customWidth="1"/>
    <x:col min="7" max="7" width="22" hidden="0" customWidth="1"/>
    <x:col min="8" max="8" width="20" hidden="0" customWidth="1"/>
    <x:col min="9" max="9" width="15" hidden="0" customWidth="1"/>
    <x:col min="10" max="10" width="18" hidden="0" customWidth="1"/>
    <x:col min="11" max="11" width="24" hidden="0" customWidth="1"/>
    <x:col min="12" max="12" width="28" hidden="0" customWidth="1"/>
    <x:col min="13" max="13" width="28" hidden="0" customWidth="1"/>
    <x:col min="14" max="14" width="34" hidden="0" customWidth="1"/>
    <x:col min="15" max="15" width="48" hidden="0" customWidth="1"/>
    <x:col min="16" max="16" width="52" hidden="0" customWidth="1"/>
    <x:col min="17" max="17" width="18" hidden="0" customWidth="1"/>
  </x:cols>
  <x:sheetData>
    <x:row r="1" ht="30" customHeight="1">
      <x:c r="A1" s="38" t="str">
        <x:v>Jira Coverage</x:v>
      </x:c>
      <x:c r="B1" s="38" t="str">
        <x:v>Jira Coverage</x:v>
      </x:c>
      <x:c r="C1" s="38" t="str">
        <x:v>Jira Coverage</x:v>
      </x:c>
      <x:c r="D1" s="38" t="str">
        <x:v>Jira Coverage</x:v>
      </x:c>
      <x:c r="E1" s="38" t="str">
        <x:v>Jira Coverage</x:v>
      </x:c>
      <x:c r="F1" s="38" t="str">
        <x:v>Jira Coverage</x:v>
      </x:c>
      <x:c r="G1" s="38" t="str">
        <x:v>Jira Coverage</x:v>
      </x:c>
      <x:c r="H1" s="38" t="str">
        <x:v>Jira Coverage</x:v>
      </x:c>
      <x:c r="I1" s="38" t="str">
        <x:v>Jira Coverage</x:v>
      </x:c>
      <x:c r="J1" s="38" t="str">
        <x:v>Jira Coverage</x:v>
      </x:c>
      <x:c r="K1" s="38" t="str">
        <x:v>Jira Coverage</x:v>
      </x:c>
      <x:c r="L1" s="38" t="str">
        <x:v>Jira Coverage</x:v>
      </x:c>
      <x:c r="M1" s="38" t="str">
        <x:v>Jira Coverage</x:v>
      </x:c>
      <x:c r="N1" s="38" t="str">
        <x:v>Jira Coverage</x:v>
      </x:c>
      <x:c r="O1" s="38" t="str">
        <x:v>Jira Coverage</x:v>
      </x:c>
      <x:c r="P1" s="38" t="str">
        <x:v>Jira Coverage</x:v>
      </x:c>
      <x:c r="Q1" s="38" t="str">
        <x:v>Jira Coverage</x:v>
      </x:c>
    </x:row>
    <x:row r="2" ht="34" customHeight="1">
      <x:c r="A2" s="39" t="str">
        <x:v>Use this to prove which work is already ticketed. Jira Key is never fabricated; Feature Link and source screenshot are tracked separately.</x:v>
      </x:c>
      <x:c r="B2" s="39" t="str">
        <x:v>Use this to prove which work is already ticketed. Jira Key is never fabricated; Feature Link and source screenshot are tracked separately.</x:v>
      </x:c>
      <x:c r="C2" s="39" t="str">
        <x:v>Use this to prove which work is already ticketed. Jira Key is never fabricated; Feature Link and source screenshot are tracked separately.</x:v>
      </x:c>
      <x:c r="D2" s="39" t="str">
        <x:v>Use this to prove which work is already ticketed. Jira Key is never fabricated; Feature Link and source screenshot are tracked separately.</x:v>
      </x:c>
      <x:c r="E2" s="39" t="str">
        <x:v>Use this to prove which work is already ticketed. Jira Key is never fabricated; Feature Link and source screenshot are tracked separately.</x:v>
      </x:c>
      <x:c r="F2" s="39" t="str">
        <x:v>Use this to prove which work is already ticketed. Jira Key is never fabricated; Feature Link and source screenshot are tracked separately.</x:v>
      </x:c>
      <x:c r="G2" s="39" t="str">
        <x:v>Use this to prove which work is already ticketed. Jira Key is never fabricated; Feature Link and source screenshot are tracked separately.</x:v>
      </x:c>
      <x:c r="H2" s="39" t="str">
        <x:v>Use this to prove which work is already ticketed. Jira Key is never fabricated; Feature Link and source screenshot are tracked separately.</x:v>
      </x:c>
      <x:c r="I2" s="39" t="str">
        <x:v>Use this to prove which work is already ticketed. Jira Key is never fabricated; Feature Link and source screenshot are tracked separately.</x:v>
      </x:c>
      <x:c r="J2" s="39" t="str">
        <x:v>Use this to prove which work is already ticketed. Jira Key is never fabricated; Feature Link and source screenshot are tracked separately.</x:v>
      </x:c>
      <x:c r="K2" s="39" t="str">
        <x:v>Use this to prove which work is already ticketed. Jira Key is never fabricated; Feature Link and source screenshot are tracked separately.</x:v>
      </x:c>
      <x:c r="L2" s="39" t="str">
        <x:v>Use this to prove which work is already ticketed. Jira Key is never fabricated; Feature Link and source screenshot are tracked separately.</x:v>
      </x:c>
      <x:c r="M2" s="39" t="str">
        <x:v>Use this to prove which work is already ticketed. Jira Key is never fabricated; Feature Link and source screenshot are tracked separately.</x:v>
      </x:c>
      <x:c r="N2" s="39" t="str">
        <x:v>Use this to prove which work is already ticketed. Jira Key is never fabricated; Feature Link and source screenshot are tracked separately.</x:v>
      </x:c>
      <x:c r="O2" s="39" t="str">
        <x:v>Use this to prove which work is already ticketed. Jira Key is never fabricated; Feature Link and source screenshot are tracked separately.</x:v>
      </x:c>
      <x:c r="P2" s="39" t="str">
        <x:v>Use this to prove which work is already ticketed. Jira Key is never fabricated; Feature Link and source screenshot are tracked separately.</x:v>
      </x:c>
      <x:c r="Q2" s="39" t="str">
        <x:v>Use this to prove which work is already ticketed. Jira Key is never fabricated; Feature Link and source screenshot are tracked separately.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</x:row>
    <x:row r="4" ht="34" customHeight="1">
      <x:c r="A4" s="44" t="str">
        <x:v>Jira Key</x:v>
      </x:c>
      <x:c r="B4" s="44" t="str">
        <x:v>Feature Link</x:v>
      </x:c>
      <x:c r="C4" s="44" t="str">
        <x:v>Workstream</x:v>
      </x:c>
      <x:c r="D4" s="44" t="str">
        <x:v>Summary / Work Item</x:v>
      </x:c>
      <x:c r="E4" s="44" t="str">
        <x:v>Ticket Type</x:v>
      </x:c>
      <x:c r="F4" s="44" t="str">
        <x:v>Jira Status</x:v>
      </x:c>
      <x:c r="G4" s="44" t="str">
        <x:v>Owner / Assignee</x:v>
      </x:c>
      <x:c r="H4" s="44" t="str">
        <x:v>Sprint / Target</x:v>
      </x:c>
      <x:c r="I4" s="44" t="str">
        <x:v>Estimate / Points</x:v>
      </x:c>
      <x:c r="J4" s="44" t="str">
        <x:v>Estimate Confidence</x:v>
      </x:c>
      <x:c r="K4" s="44" t="str">
        <x:v>Coverage Status</x:v>
      </x:c>
      <x:c r="L4" s="44" t="str">
        <x:v>Dependency</x:v>
      </x:c>
      <x:c r="M4" s="44" t="str">
        <x:v>Linked Workbook Item</x:v>
      </x:c>
      <x:c r="N4" s="44" t="str">
        <x:v>Source Evidence</x:v>
      </x:c>
      <x:c r="O4" s="44" t="str">
        <x:v>Missing Source Data</x:v>
      </x:c>
      <x:c r="P4" s="44" t="str">
        <x:v>Required Action</x:v>
      </x:c>
      <x:c r="Q4" s="44" t="str">
        <x:v>Source Row</x:v>
      </x:c>
    </x:row>
    <x:row r="5">
      <x:c r="A5" s="15" t="str">
        <x:v>Missing Jira Key</x:v>
      </x:c>
      <x:c r="B5" s="15" t="str">
        <x:v>PBFNC-1210</x:v>
      </x:c>
      <x:c r="C5" s="15" t="str">
        <x:v>Container Onboarding</x:v>
      </x:c>
      <x:c r="D5" s="15" t="str">
        <x:v>“Submit request to add CVIS servers to appropriate email channels provided by WF. This article contains</x:v>
      </x:c>
      <x:c r="E5" s="15" t="str">
        <x:v>Task</x:v>
      </x:c>
      <x:c r="F5" s="15" t="str">
        <x:v>To do</x:v>
      </x:c>
      <x:c r="G5" s="15" t="str">
        <x:v>Peredo martinez, Jose</x:v>
      </x:c>
      <x:c r="H5" s="15" t="str">
        <x:v>DTCX 2026-S17</x:v>
      </x:c>
      <x:c r="I5" s="15" t="str"/>
      <x:c r="J5" s="15" t="str">
        <x:v>Medium</x:v>
      </x:c>
      <x:c r="K5" s="15" t="str">
        <x:v>Existing Ticket</x:v>
      </x:c>
      <x:c r="L5" s="15" t="str"/>
      <x:c r="M5" s="15" t="str">
        <x:v>CREDENTIAL VAULT INTEGRATION SERVICES</x:v>
      </x:c>
      <x:c r="N5" s="15" t="str">
        <x:v>PXL_20260816_163425407.MP.txt; created 04/16/2025 12:22 PM ee; updated 08/04/2026 11:43 AM a</x:v>
      </x:c>
      <x:c r="O5" s="15" t="str">
        <x:v>Jira key not visible in screenshot</x:v>
      </x:c>
      <x:c r="P5" s="15" t="str">
        <x:v>Update from Jira export or team owner if any required field is missing.</x:v>
      </x:c>
      <x:c r="Q5" s="15" t="str">
        <x:v>Imported Row 001</x:v>
      </x:c>
    </x:row>
    <x:row r="6">
      <x:c r="A6" s="15" t="str">
        <x:v>Missing Jira Key</x:v>
      </x:c>
      <x:c r="B6" s="15" t="str"/>
      <x:c r="C6" s="15" t="str">
        <x:v>Application Rationalization</x:v>
      </x:c>
      <x:c r="D6" s="15" t="str">
        <x:v>As a CVIS Developer, I need to create mermaid charts for the CVIS Codebase. oa</x:v>
      </x:c>
      <x:c r="E6" s="15" t="str">
        <x:v>Task</x:v>
      </x:c>
      <x:c r="F6" s="15" t="str">
        <x:v>To do</x:v>
      </x:c>
      <x:c r="G6" s="15" t="str">
        <x:v>TBD</x:v>
      </x:c>
      <x:c r="H6" s="15" t="str"/>
      <x:c r="I6" s="15" t="str"/>
      <x:c r="J6" s="15" t="str">
        <x:v>Medium</x:v>
      </x:c>
      <x:c r="K6" s="15" t="str">
        <x:v>Existing Ticket</x:v>
      </x:c>
      <x:c r="L6" s="15" t="str"/>
      <x:c r="M6" s="15" t="str">
        <x:v>CREDENTIAL VAULT INTEGRATION SERVICES j</x:v>
      </x:c>
      <x:c r="N6" s="15" t="str">
        <x:v>PXL_20260816_163425407.MP.txt; created @1/06/2026 10:13 AM es; updated 05/26/2026 11:15 AM 3</x:v>
      </x:c>
      <x:c r="O6" s="15" t="str">
        <x:v>Jira key not visible in screenshot; feature link not visible; sprint not visible</x:v>
      </x:c>
      <x:c r="P6" s="15" t="str">
        <x:v>Update from Jira export or team owner if any required field is missing.</x:v>
      </x:c>
      <x:c r="Q6" s="15" t="str">
        <x:v>Imported Row 002</x:v>
      </x:c>
    </x:row>
    <x:row r="7">
      <x:c r="A7" s="15" t="str">
        <x:v>Missing Jira Key</x:v>
      </x:c>
      <x:c r="B7" s="15" t="str"/>
      <x:c r="C7" s="15" t="str">
        <x:v>Application Rationalization</x:v>
      </x:c>
      <x:c r="D7" s="15" t="str">
        <x:v>DOD: Demo the Mandy Sabo report idea.[] Maturity Model demo so that the</x:v>
      </x:c>
      <x:c r="E7" s="15" t="str">
        <x:v>Task</x:v>
      </x:c>
      <x:c r="F7" s="15" t="str">
        <x:v>To do</x:v>
      </x:c>
      <x:c r="G7" s="15" t="str">
        <x:v>Carter, Larry J</x:v>
      </x:c>
      <x:c r="H7" s="15" t="str"/>
      <x:c r="I7" s="15" t="str"/>
      <x:c r="J7" s="15" t="str">
        <x:v>Medium</x:v>
      </x:c>
      <x:c r="K7" s="15" t="str">
        <x:v>Existing Ticket</x:v>
      </x:c>
      <x:c r="L7" s="15" t="str"/>
      <x:c r="M7" s="15" t="str">
        <x:v>CREDENTIAL VAULT INTEGRATION SERVICES ee</x:v>
      </x:c>
      <x:c r="N7" s="15" t="str">
        <x:v>PXL_20260816_163425407.MP.txt; created 01/27/2026 12:03 PM; updated @8/04/2026 11:01 AM , ef</x:v>
      </x:c>
      <x:c r="O7" s="15" t="str">
        <x:v>Jira key not visible in screenshot; feature link not visible; sprint not visible; summary from acceptance/partial screenshot extract</x:v>
      </x:c>
      <x:c r="P7" s="15" t="str">
        <x:v>Update from Jira export or team owner if any required field is missing.</x:v>
      </x:c>
      <x:c r="Q7" s="15" t="str">
        <x:v>Imported Row 003</x:v>
      </x:c>
    </x:row>
    <x:row r="8">
      <x:c r="A8" s="15" t="str">
        <x:v>Missing Jira Key</x:v>
      </x:c>
      <x:c r="B8" s="15" t="str">
        <x:v>PBFNC-1098</x:v>
      </x:c>
      <x:c r="C8" s="15" t="str">
        <x:v>Management Reporting</x:v>
      </x:c>
      <x:c r="D8" s="15" t="str">
        <x:v>‘' a</x:v>
      </x:c>
      <x:c r="E8" s="15" t="str">
        <x:v>Task</x:v>
      </x:c>
      <x:c r="F8" s="15" t="str">
        <x:v>To do</x:v>
      </x:c>
      <x:c r="G8" s="15" t="str">
        <x:v>Carter, Larry J</x:v>
      </x:c>
      <x:c r="H8" s="15" t="str"/>
      <x:c r="I8" s="15" t="str"/>
      <x:c r="J8" s="15" t="str">
        <x:v>Medium</x:v>
      </x:c>
      <x:c r="K8" s="15" t="str">
        <x:v>Existing Ticket</x:v>
      </x:c>
      <x:c r="L8" s="15" t="str"/>
      <x:c r="M8" s="15" t="str">
        <x:v>CVIS</x:v>
      </x:c>
      <x:c r="N8" s="15" t="str">
        <x:v>PXL_20260816_163434069.MP.txt; created unknown; updated unknown</x:v>
      </x:c>
      <x:c r="O8" s="15" t="str">
        <x:v>Jira key not visible in screenshot; sprint not visible</x:v>
      </x:c>
      <x:c r="P8" s="15" t="str">
        <x:v>Update from Jira export or team owner if any required field is missing.</x:v>
      </x:c>
      <x:c r="Q8" s="15" t="str">
        <x:v>Imported Row 004</x:v>
      </x:c>
    </x:row>
    <x:row r="9">
      <x:c r="A9" s="15" t="str">
        <x:v>Missing Jira Key</x:v>
      </x:c>
      <x:c r="B9" s="15" t="str">
        <x:v>PBFNC-996</x:v>
      </x:c>
      <x:c r="C9" s="15" t="str">
        <x:v>Release / Deployment</x:v>
      </x:c>
      <x:c r="D9" s="15" t="str">
        <x:v>This task is to create the SDLC documentation needed for a Release</x:v>
      </x:c>
      <x:c r="E9" s="15" t="str">
        <x:v>Task</x:v>
      </x:c>
      <x:c r="F9" s="15" t="str">
        <x:v>Done</x:v>
      </x:c>
      <x:c r="G9" s="15" t="str">
        <x:v>O'brien, Sharman</x:v>
      </x:c>
      <x:c r="H9" s="15" t="str"/>
      <x:c r="I9" s="15" t="str"/>
      <x:c r="J9" s="15" t="str">
        <x:v>Medium</x:v>
      </x:c>
      <x:c r="K9" s="15" t="str">
        <x:v>Existing Ticket</x:v>
      </x:c>
      <x:c r="L9" s="15" t="str"/>
      <x:c r="M9" s="15" t="str">
        <x:v>CREDENTIAL VAULT INTEGRATION SERVICES ed</x:v>
      </x:c>
      <x:c r="N9" s="15" t="str">
        <x:v>PXL_20260816_163434069.MP.txt; created 02/10/2026 10:59 AM T; updated 5/14/2026 4:20 PM ee</x:v>
      </x:c>
      <x:c r="O9" s="15" t="str">
        <x:v>Jira key not visible in screenshot; sprint not visible</x:v>
      </x:c>
      <x:c r="P9" s="15" t="str">
        <x:v>Update from Jira export or team owner if any required field is missing.</x:v>
      </x:c>
      <x:c r="Q9" s="15" t="str">
        <x:v>Imported Row 005</x:v>
      </x:c>
    </x:row>
    <x:row r="10">
      <x:c r="A10" s="15" t="str">
        <x:v>Missing Jira Key</x:v>
      </x:c>
      <x:c r="B10" s="15" t="str">
        <x:v>PBFNC-996</x:v>
      </x:c>
      <x:c r="C10" s="15" t="str">
        <x:v>Application Rationalization</x:v>
      </x:c>
      <x:c r="D10" s="15" t="str">
        <x:v>Create Test Plan in SDLC mek Perform Testing, Document Results E</x:v>
      </x:c>
      <x:c r="E10" s="15" t="str">
        <x:v>Task</x:v>
      </x:c>
      <x:c r="F10" s="15" t="str">
        <x:v>Done</x:v>
      </x:c>
      <x:c r="G10" s="15" t="str">
        <x:v>O'brien, Sharman</x:v>
      </x:c>
      <x:c r="H10" s="15" t="str"/>
      <x:c r="I10" s="15" t="str"/>
      <x:c r="J10" s="15" t="str">
        <x:v>Medium</x:v>
      </x:c>
      <x:c r="K10" s="15" t="str">
        <x:v>Existing Ticket</x:v>
      </x:c>
      <x:c r="L10" s="15" t="str"/>
      <x:c r="M10" s="15" t="str">
        <x:v>CREDENTIAL VAULT INTEGRATION SERVICES Se</x:v>
      </x:c>
      <x:c r="N10" s="15" t="str">
        <x:v>PXL_20260816_163434069.MP.txt; created 02/10/2026 10:59 AM ; ue E; updated 05/14/2026 4:18 PM ae</x:v>
      </x:c>
      <x:c r="O10" s="15" t="str">
        <x:v>Jira key not visible in screenshot; sprint not visible</x:v>
      </x:c>
      <x:c r="P10" s="15" t="str">
        <x:v>Update from Jira export or team owner if any required field is missing.</x:v>
      </x:c>
      <x:c r="Q10" s="15" t="str">
        <x:v>Imported Row 006</x:v>
      </x:c>
    </x:row>
    <x:row r="11">
      <x:c r="A11" s="15" t="str">
        <x:v>Missing Jira Key</x:v>
      </x:c>
      <x:c r="B11" s="15" t="str">
        <x:v>PBFNC-996</x:v>
      </x:c>
      <x:c r="C11" s="15" t="str">
        <x:v>Release / Deployment</x:v>
      </x:c>
      <x:c r="D11" s="15" t="str">
        <x:v>SDElements, SPR, SAST, SCA, ASC Review, FSR submission : Seer ee</x:v>
      </x:c>
      <x:c r="E11" s="15" t="str">
        <x:v>Task</x:v>
      </x:c>
      <x:c r="F11" s="15" t="str">
        <x:v>Done</x:v>
      </x:c>
      <x:c r="G11" s="15" t="str">
        <x:v>O'brien, Sharman</x:v>
      </x:c>
      <x:c r="H11" s="15" t="str"/>
      <x:c r="I11" s="15" t="str"/>
      <x:c r="J11" s="15" t="str">
        <x:v>Medium</x:v>
      </x:c>
      <x:c r="K11" s="15" t="str">
        <x:v>Existing Ticket</x:v>
      </x:c>
      <x:c r="L11" s="15" t="str"/>
      <x:c r="M11" s="15" t="str">
        <x:v>CREDENTIAL VAULT INTEGRATION SERVICES re</x:v>
      </x:c>
      <x:c r="N11" s="15" t="str">
        <x:v>PXL_20260816_163447527.MP.txt; created 02/10/2026 1¥:59 AM o a; updated 06/09/2026 10:43 AM</x:v>
      </x:c>
      <x:c r="O11" s="15" t="str">
        <x:v>Jira key not visible in screenshot; sprint not visible</x:v>
      </x:c>
      <x:c r="P11" s="15" t="str">
        <x:v>Update from Jira export or team owner if any required field is missing.</x:v>
      </x:c>
      <x:c r="Q11" s="15" t="str">
        <x:v>Imported Row 007</x:v>
      </x:c>
    </x:row>
    <x:row r="12">
      <x:c r="A12" s="15" t="str">
        <x:v>Missing Jira Key</x:v>
      </x:c>
      <x:c r="B12" s="15" t="str">
        <x:v>PBFNC-996</x:v>
      </x:c>
      <x:c r="C12" s="15" t="str">
        <x:v>Release / Deployment</x:v>
      </x:c>
      <x:c r="D12" s="15" t="str">
        <x:v>‘Create CHG (inc. install and backout plan) Get # for EASP, Submit SDLC Document’</x:v>
      </x:c>
      <x:c r="E12" s="15" t="str">
        <x:v>Task</x:v>
      </x:c>
      <x:c r="F12" s="15" t="str">
        <x:v>Done</x:v>
      </x:c>
      <x:c r="G12" s="15" t="str">
        <x:v>O'brien, Sharman M</x:v>
      </x:c>
      <x:c r="H12" s="15" t="str"/>
      <x:c r="I12" s="15" t="str"/>
      <x:c r="J12" s="15" t="str">
        <x:v>Medium</x:v>
      </x:c>
      <x:c r="K12" s="15" t="str">
        <x:v>Existing Ticket</x:v>
      </x:c>
      <x:c r="L12" s="15" t="str"/>
      <x:c r="M12" s="15" t="str">
        <x:v>CREDENTIAL VAULT INTEGRATION SERVICES aa</x:v>
      </x:c>
      <x:c r="N12" s="15" t="str">
        <x:v>PXL_20260816_163447527.MP.txt; created @2/10/2026 10:59 AM; updated @5/14/2026 4:13 PM e</x:v>
      </x:c>
      <x:c r="O12" s="15" t="str">
        <x:v>Jira key not visible in screenshot; sprint not visible</x:v>
      </x:c>
      <x:c r="P12" s="15" t="str">
        <x:v>Update from Jira export or team owner if any required field is missing.</x:v>
      </x:c>
      <x:c r="Q12" s="15" t="str">
        <x:v>Imported Row 008</x:v>
      </x:c>
    </x:row>
    <x:row r="13">
      <x:c r="A13" s="15" t="str">
        <x:v>Missing Jira Key</x:v>
      </x:c>
      <x:c r="B13" s="15" t="str">
        <x:v>PBFNC-996</x:v>
      </x:c>
      <x:c r="C13" s="15" t="str">
        <x:v>Release / Deployment</x:v>
      </x:c>
      <x:c r="D13" s="15" t="str">
        <x:v>The EPV release is successfully deployed to the production environment meeting the Definition of Done and</x:v>
      </x:c>
      <x:c r="E13" s="15" t="str">
        <x:v>Task</x:v>
      </x:c>
      <x:c r="F13" s="15" t="str">
        <x:v>Done</x:v>
      </x:c>
      <x:c r="G13" s="15" t="str">
        <x:v>Maclean, Mike ae</x:v>
      </x:c>
      <x:c r="H13" s="15" t="str"/>
      <x:c r="I13" s="15" t="str"/>
      <x:c r="J13" s="15" t="str">
        <x:v>Medium</x:v>
      </x:c>
      <x:c r="K13" s="15" t="str">
        <x:v>Existing Ticket</x:v>
      </x:c>
      <x:c r="L13" s="15" t="str"/>
      <x:c r="M13" s="15" t="str">
        <x:v>CREDENTIAL VAULT INTEGRATION SERVICES</x:v>
      </x:c>
      <x:c r="N13" s="15" t="str">
        <x:v>PXL_20260816_163447527.MP.txt; created @2/10/2026 10:59 AM; updated @5/14/2026 4:22 PM</x:v>
      </x:c>
      <x:c r="O13" s="15" t="str">
        <x:v>Jira key not visible in screenshot; sprint not visible</x:v>
      </x:c>
      <x:c r="P13" s="15" t="str">
        <x:v>Update from Jira export or team owner if any required field is missing.</x:v>
      </x:c>
      <x:c r="Q13" s="15" t="str">
        <x:v>Imported Row 009</x:v>
      </x:c>
    </x:row>
    <x:row r="14">
      <x:c r="A14" s="15" t="str">
        <x:v>Missing Jira Key</x:v>
      </x:c>
      <x:c r="B14" s="15" t="str"/>
      <x:c r="C14" s="15" t="str">
        <x:v>Database</x:v>
      </x:c>
      <x:c r="D14" s="15" t="str">
        <x:v>As a CVIS developer, I need to request a VM to host the Production database ie</x:v>
      </x:c>
      <x:c r="E14" s="15" t="str">
        <x:v>Task</x:v>
      </x:c>
      <x:c r="F14" s="15" t="str">
        <x:v>Done</x:v>
      </x:c>
      <x:c r="G14" s="15" t="str">
        <x:v>Peredo martinez, Jose</x:v>
      </x:c>
      <x:c r="H14" s="15" t="str"/>
      <x:c r="I14" s="15" t="str"/>
      <x:c r="J14" s="15" t="str">
        <x:v>Medium</x:v>
      </x:c>
      <x:c r="K14" s="15" t="str">
        <x:v>Existing Ticket</x:v>
      </x:c>
      <x:c r="L14" s="15" t="str"/>
      <x:c r="M14" s="15" t="str">
        <x:v>CREDENTIAL VAULT INTEGRATION SERVICES ae</x:v>
      </x:c>
      <x:c r="N14" s="15" t="str">
        <x:v>PXL_20260816_163458424.MP.txt; created 02/17/2026 3:03 PM ea; updated 5/26/2026 11:23 AM a</x:v>
      </x:c>
      <x:c r="O14" s="15" t="str">
        <x:v>Jira key not visible in screenshot; feature link not visible; sprint not visible</x:v>
      </x:c>
      <x:c r="P14" s="15" t="str">
        <x:v>Update from Jira export or team owner if any required field is missing.</x:v>
      </x:c>
      <x:c r="Q14" s="15" t="str">
        <x:v>Imported Row 010</x:v>
      </x:c>
    </x:row>
    <x:row r="15">
      <x:c r="A15" s="15" t="str">
        <x:v>Missing Jira Key</x:v>
      </x:c>
      <x:c r="B15" s="15" t="str">
        <x:v>PBFNC-1029</x:v>
      </x:c>
      <x:c r="C15" s="15" t="str">
        <x:v>Unity Architecture</x:v>
      </x:c>
      <x:c r="D15" s="15" t="str">
        <x:v>As a CVIS developer, I need to request Kafka access for Policy Baseline Drift (not MVP)</x:v>
      </x:c>
      <x:c r="E15" s="15" t="str">
        <x:v>Task</x:v>
      </x:c>
      <x:c r="F15" s="15" t="str">
        <x:v>To do</x:v>
      </x:c>
      <x:c r="G15" s="15" t="str">
        <x:v>TBD</x:v>
      </x:c>
      <x:c r="H15" s="15" t="str"/>
      <x:c r="I15" s="15" t="str"/>
      <x:c r="J15" s="15" t="str">
        <x:v>Medium</x:v>
      </x:c>
      <x:c r="K15" s="15" t="str">
        <x:v>Existing Ticket</x:v>
      </x:c>
      <x:c r="L15" s="15" t="str"/>
      <x:c r="M15" s="15" t="str">
        <x:v>CREDENTIAL VAULT INTEGRATION SERVICES ae</x:v>
      </x:c>
      <x:c r="N15" s="15" t="str">
        <x:v>PXL_20260816_163458424.MP.txt; created 02/17/2026 3:03 PM; updated 06/30/2026 10:59 AM</x:v>
      </x:c>
      <x:c r="O15" s="15" t="str">
        <x:v>Jira key not visible in screenshot; sprint not visible; assignee name not visible</x:v>
      </x:c>
      <x:c r="P15" s="15" t="str">
        <x:v>Update from Jira export or team owner if any required field is missing.</x:v>
      </x:c>
      <x:c r="Q15" s="15" t="str">
        <x:v>Imported Row 011</x:v>
      </x:c>
    </x:row>
    <x:row r="16">
      <x:c r="A16" s="15" t="str">
        <x:v>Missing Jira Key</x:v>
      </x:c>
      <x:c r="B16" s="15" t="str"/>
      <x:c r="C16" s="15" t="str">
        <x:v>NFRs / Governance</x:v>
      </x:c>
      <x:c r="D16" s="15" t="str">
        <x:v>DoD: Logging in this codebase to be compliant with the Enterprise logging on</x:v>
      </x:c>
      <x:c r="E16" s="15" t="str">
        <x:v>Task</x:v>
      </x:c>
      <x:c r="F16" s="15" t="str">
        <x:v>To do</x:v>
      </x:c>
      <x:c r="G16" s="15" t="str">
        <x:v>TBD</x:v>
      </x:c>
      <x:c r="H16" s="15" t="str"/>
      <x:c r="I16" s="15" t="str"/>
      <x:c r="J16" s="15" t="str">
        <x:v>Medium</x:v>
      </x:c>
      <x:c r="K16" s="15" t="str">
        <x:v>Existing Ticket</x:v>
      </x:c>
      <x:c r="L16" s="15" t="str"/>
      <x:c r="M16" s="15" t="str">
        <x:v>CREDENTIAL VAULT INTEGRATION SERVICES</x:v>
      </x:c>
      <x:c r="N16" s="15" t="str">
        <x:v>PXL_20260816_163458424.MP.txt; created 02/18/2026 11:38 AM \ es; updated @8/04/2026 11:02 AM a</x:v>
      </x:c>
      <x:c r="O16" s="15" t="str">
        <x:v>Jira key not visible in screenshot; feature link not visible; sprint not visible; summary from acceptance/partial screenshot extract</x:v>
      </x:c>
      <x:c r="P16" s="15" t="str">
        <x:v>Update from Jira export or team owner if any required field is missing.</x:v>
      </x:c>
      <x:c r="Q16" s="15" t="str">
        <x:v>Imported Row 012</x:v>
      </x:c>
    </x:row>
    <x:row r="17">
      <x:c r="A17" s="15" t="str">
        <x:v>Missing Jira Key</x:v>
      </x:c>
      <x:c r="B17" s="15" t="str">
        <x:v>PBFNC-1008</x:v>
      </x:c>
      <x:c r="C17" s="15" t="str">
        <x:v>Release / Deployment</x:v>
      </x:c>
      <x:c r="D17" s="15" t="str">
        <x:v>185 Medium Issues ] 673 Low Issues ] [CVIS https: //cmarx1.wellsfargo-net/CxhebClient/ViewerMain</x:v>
      </x:c>
      <x:c r="E17" s="15" t="str">
        <x:v>Task</x:v>
      </x:c>
      <x:c r="F17" s="15" t="str">
        <x:v>Done</x:v>
      </x:c>
      <x:c r="G17" s="15" t="str">
        <x:v>Blaylock, Bradford R. I</x:v>
      </x:c>
      <x:c r="H17" s="15" t="str"/>
      <x:c r="I17" s="15" t="str"/>
      <x:c r="J17" s="15" t="str">
        <x:v>Medium</x:v>
      </x:c>
      <x:c r="K17" s="15" t="str">
        <x:v>Existing Ticket</x:v>
      </x:c>
      <x:c r="L17" s="15" t="str"/>
      <x:c r="M17" s="15" t="str">
        <x:v>CREDENTIAL VAULT INTEGRATION SERVICES</x:v>
      </x:c>
      <x:c r="N17" s="15" t="str">
        <x:v>PXL_20260816_163512856.MP.txt; created 02/23/2026 1:27 PM; updated @5/26/2026 11:25 AM</x:v>
      </x:c>
      <x:c r="O17" s="15" t="str">
        <x:v>Jira key not visible in screenshot; sprint not visible</x:v>
      </x:c>
      <x:c r="P17" s="15" t="str">
        <x:v>Update from Jira export or team owner if any required field is missing.</x:v>
      </x:c>
      <x:c r="Q17" s="15" t="str">
        <x:v>Imported Row 013</x:v>
      </x:c>
    </x:row>
    <x:row r="18">
      <x:c r="A18" s="15" t="str">
        <x:v>Missing Jira Key</x:v>
      </x:c>
      <x:c r="B18" s="15" t="str"/>
      <x:c r="C18" s="15" t="str">
        <x:v>Database</x:v>
      </x:c>
      <x:c r="D18" s="15" t="str">
        <x:v>1. **Scenario: Identification of Required Configuration Files** Given the a</x:v>
      </x:c>
      <x:c r="E18" s="15" t="str">
        <x:v>Task</x:v>
      </x:c>
      <x:c r="F18" s="15" t="str">
        <x:v>To do</x:v>
      </x:c>
      <x:c r="G18" s="15" t="str">
        <x:v>TBD</x:v>
      </x:c>
      <x:c r="H18" s="15" t="str"/>
      <x:c r="I18" s="15" t="str"/>
      <x:c r="J18" s="15" t="str">
        <x:v>Low</x:v>
      </x:c>
      <x:c r="K18" s="15" t="str">
        <x:v>Existing But Incomplete</x:v>
      </x:c>
      <x:c r="L18" s="15" t="str"/>
      <x:c r="M18" s="15" t="str">
        <x:v>Enterprise Password Vault . ne a</x:v>
      </x:c>
      <x:c r="N18" s="15" t="str">
        <x:v>PXL_20260816_163512856.MP.txt; created 3/10/2026 10:16 AM; updated 05/26/2026 11:28 AM M 3</x:v>
      </x:c>
      <x:c r="O18" s="15" t="str">
        <x:v>Jira key not visible in screenshot; feature link not visible; sprint not visible; summary from acceptance/partial screenshot extract</x:v>
      </x:c>
      <x:c r="P18" s="15" t="str">
        <x:v>Update from Jira export or team owner if any required field is missing.</x:v>
      </x:c>
      <x:c r="Q18" s="15" t="str">
        <x:v>Imported Row 014</x:v>
      </x:c>
    </x:row>
    <x:row r="19">
      <x:c r="A19" s="15" t="str">
        <x:v>Missing Jira Key</x:v>
      </x:c>
      <x:c r="B19" s="15" t="str">
        <x:v>PBFNC-1054</x:v>
      </x:c>
      <x:c r="C19" s="15" t="str">
        <x:v>Database</x:v>
      </x:c>
      <x:c r="D19" s="15" t="str">
        <x:v>“As CVIS Development, I want to receive the production configuration files for the specified AD CyberArk</x:v>
      </x:c>
      <x:c r="E19" s="15" t="str">
        <x:v>Task</x:v>
      </x:c>
      <x:c r="F19" s="15" t="str">
        <x:v>To do</x:v>
      </x:c>
      <x:c r="G19" s="15" t="str">
        <x:v>TBD</x:v>
      </x:c>
      <x:c r="H19" s="15" t="str"/>
      <x:c r="I19" s="15" t="str"/>
      <x:c r="J19" s="15" t="str">
        <x:v>Low</x:v>
      </x:c>
      <x:c r="K19" s="15" t="str">
        <x:v>Existing But Incomplete</x:v>
      </x:c>
      <x:c r="L19" s="15" t="str"/>
      <x:c r="M19" s="15" t="str">
        <x:v>CVIS</x:v>
      </x:c>
      <x:c r="N19" s="15" t="str">
        <x:v>PXL_20260816_163524287.MP.txt; created unknown; updated unknown</x:v>
      </x:c>
      <x:c r="O19" s="15" t="str">
        <x:v>Jira key not visible in screenshot; sprint not visible; assignee name not visible</x:v>
      </x:c>
      <x:c r="P19" s="15" t="str">
        <x:v>Update from Jira export or team owner if any required field is missing.</x:v>
      </x:c>
      <x:c r="Q19" s="15" t="str">
        <x:v>Imported Row 015</x:v>
      </x:c>
    </x:row>
    <x:row r="20">
      <x:c r="A20" s="15" t="str">
        <x:v>Missing Jira Key</x:v>
      </x:c>
      <x:c r="B20" s="15" t="str">
        <x:v>PBFNC-1029</x:v>
      </x:c>
      <x:c r="C20" s="15" t="str">
        <x:v>Release / Deployment</x:v>
      </x:c>
      <x:c r="D20" s="15" t="str">
        <x:v>This task is to create the SDLC documentation needed for a Release ae</x:v>
      </x:c>
      <x:c r="E20" s="15" t="str">
        <x:v>Task</x:v>
      </x:c>
      <x:c r="F20" s="15" t="str">
        <x:v>To do</x:v>
      </x:c>
      <x:c r="G20" s="15" t="str">
        <x:v>O'brien, Sharman &amp;,. ae</x:v>
      </x:c>
      <x:c r="H20" s="15" t="str"/>
      <x:c r="I20" s="15" t="str"/>
      <x:c r="J20" s="15" t="str">
        <x:v>Medium</x:v>
      </x:c>
      <x:c r="K20" s="15" t="str">
        <x:v>Existing Ticket</x:v>
      </x:c>
      <x:c r="L20" s="15" t="str"/>
      <x:c r="M20" s="15" t="str">
        <x:v>CREDENTIAL VAULT INTEGRATION SERVICES</x:v>
      </x:c>
      <x:c r="N20" s="15" t="str">
        <x:v>PXL_20260816_163524287.MP.txt; created 03/24/2026 9:32 AM ° Saas; updated @5/26/2026 10:16 AM</x:v>
      </x:c>
      <x:c r="O20" s="15" t="str">
        <x:v>Jira key not visible in screenshot; sprint not visible</x:v>
      </x:c>
      <x:c r="P20" s="15" t="str">
        <x:v>Update from Jira export or team owner if any required field is missing.</x:v>
      </x:c>
      <x:c r="Q20" s="15" t="str">
        <x:v>Imported Row 016</x:v>
      </x:c>
    </x:row>
    <x:row r="21">
      <x:c r="A21" s="15" t="str">
        <x:v>Missing Jira Key</x:v>
      </x:c>
      <x:c r="B21" s="15" t="str">
        <x:v>PBFNC-1029</x:v>
      </x:c>
      <x:c r="C21" s="15" t="str">
        <x:v>Release / Deployment</x:v>
      </x:c>
      <x:c r="D21" s="15" t="str">
        <x:v>This task is to create the SDLC documentation needed for a Release a</x:v>
      </x:c>
      <x:c r="E21" s="15" t="str">
        <x:v>Task</x:v>
      </x:c>
      <x:c r="F21" s="15" t="str">
        <x:v>To do</x:v>
      </x:c>
      <x:c r="G21" s="15" t="str">
        <x:v>O'brien, Sharman</x:v>
      </x:c>
      <x:c r="H21" s="15" t="str"/>
      <x:c r="I21" s="15" t="str"/>
      <x:c r="J21" s="15" t="str">
        <x:v>Medium</x:v>
      </x:c>
      <x:c r="K21" s="15" t="str">
        <x:v>Existing Ticket</x:v>
      </x:c>
      <x:c r="L21" s="15" t="str"/>
      <x:c r="M21" s="15" t="str">
        <x:v>CREDENTIAL VAULT INTEGRATION SERVICES RES</x:v>
      </x:c>
      <x:c r="N21" s="15" t="str">
        <x:v>PXL_20260816_163534968.MP.txt; created 3/24/2026 9:32 AM; updated @5/26/2026 10:16 AM</x:v>
      </x:c>
      <x:c r="O21" s="15" t="str">
        <x:v>Jira key not visible in screenshot; sprint not visible</x:v>
      </x:c>
      <x:c r="P21" s="15" t="str">
        <x:v>Update from Jira export or team owner if any required field is missing.</x:v>
      </x:c>
      <x:c r="Q21" s="15" t="str">
        <x:v>Imported Row 017</x:v>
      </x:c>
    </x:row>
    <x:row r="22">
      <x:c r="A22" s="15" t="str">
        <x:v>Missing Jira Key</x:v>
      </x:c>
      <x:c r="B22" s="15" t="str"/>
      <x:c r="C22" s="15" t="str">
        <x:v>Application Rationalization</x:v>
      </x:c>
      <x:c r="D22" s="15" t="str">
        <x:v>Create Test Plan in SDLC Document, Perform Testing, Document Results</x:v>
      </x:c>
      <x:c r="E22" s="15" t="str">
        <x:v>Task</x:v>
      </x:c>
      <x:c r="F22" s="15" t="str">
        <x:v>To do</x:v>
      </x:c>
      <x:c r="G22" s="15" t="str">
        <x:v>O'brien, Sharman</x:v>
      </x:c>
      <x:c r="H22" s="15" t="str"/>
      <x:c r="I22" s="15" t="str"/>
      <x:c r="J22" s="15" t="str">
        <x:v>Medium</x:v>
      </x:c>
      <x:c r="K22" s="15" t="str">
        <x:v>Existing Ticket</x:v>
      </x:c>
      <x:c r="L22" s="15" t="str"/>
      <x:c r="M22" s="15" t="str">
        <x:v>CREDENTIAL VAULT INTEGRATION SERVICES</x:v>
      </x:c>
      <x:c r="N22" s="15" t="str">
        <x:v>PXL_20260816_163534968.MP.txt; created 03/24/2026 9:32 AM; updated 05/26/2026 10:17 AM es</x:v>
      </x:c>
      <x:c r="O22" s="15" t="str">
        <x:v>Jira key not visible in screenshot; feature link not visible; sprint not visible</x:v>
      </x:c>
      <x:c r="P22" s="15" t="str">
        <x:v>Update from Jira export or team owner if any required field is missing.</x:v>
      </x:c>
      <x:c r="Q22" s="15" t="str">
        <x:v>Imported Row 018</x:v>
      </x:c>
    </x:row>
    <x:row r="23">
      <x:c r="A23" s="15" t="str">
        <x:v>Missing Jira Key</x:v>
      </x:c>
      <x:c r="B23" s="15" t="str">
        <x:v>PBFNC-1029</x:v>
      </x:c>
      <x:c r="C23" s="15" t="str">
        <x:v>Release / Deployment</x:v>
      </x:c>
      <x:c r="D23" s="15" t="str">
        <x:v>SDElements, SPR, SAST, SCA, ASC Review, FSR submission ee</x:v>
      </x:c>
      <x:c r="E23" s="15" t="str">
        <x:v>Task</x:v>
      </x:c>
      <x:c r="F23" s="15" t="str">
        <x:v>To hd Se</x:v>
      </x:c>
      <x:c r="G23" s="15" t="str">
        <x:v>O'brien, Sharman ' ‘i a</x:v>
      </x:c>
      <x:c r="H23" s="15" t="str"/>
      <x:c r="I23" s="15" t="str"/>
      <x:c r="J23" s="15" t="str">
        <x:v>Medium</x:v>
      </x:c>
      <x:c r="K23" s="15" t="str">
        <x:v>Existing Ticket</x:v>
      </x:c>
      <x:c r="L23" s="15" t="str"/>
      <x:c r="M23" s="15" t="str">
        <x:v>CREDENTIAL VAULT INTEGRATION SERVICES eS</x:v>
      </x:c>
      <x:c r="N23" s="15" t="str">
        <x:v>PXL_20260816_163534968.MP.txt; created 03/24/2026 9:32 AM; updated 06/09/2026 10:55 AM</x:v>
      </x:c>
      <x:c r="O23" s="15" t="str">
        <x:v>Jira key not visible in screenshot; sprint not visible</x:v>
      </x:c>
      <x:c r="P23" s="15" t="str">
        <x:v>Update from Jira export or team owner if any required field is missing.</x:v>
      </x:c>
      <x:c r="Q23" s="15" t="str">
        <x:v>Imported Row 019</x:v>
      </x:c>
    </x:row>
    <x:row r="24">
      <x:c r="A24" s="15" t="str">
        <x:v>Missing Jira Key</x:v>
      </x:c>
      <x:c r="B24" s="15" t="str">
        <x:v>PBFNC-1029</x:v>
      </x:c>
      <x:c r="C24" s="15" t="str">
        <x:v>Release / Deployment</x:v>
      </x:c>
      <x:c r="D24" s="15" t="str">
        <x:v>‘Create CHG (inc. install and backout plan) Get # for EASP, Submit SDLC Document’</x:v>
      </x:c>
      <x:c r="E24" s="15" t="str">
        <x:v>Task</x:v>
      </x:c>
      <x:c r="F24" s="15" t="str">
        <x:v>To do</x:v>
      </x:c>
      <x:c r="G24" s="15" t="str">
        <x:v>O'brien, Sharman an</x:v>
      </x:c>
      <x:c r="H24" s="15" t="str"/>
      <x:c r="I24" s="15" t="str"/>
      <x:c r="J24" s="15" t="str">
        <x:v>Medium</x:v>
      </x:c>
      <x:c r="K24" s="15" t="str">
        <x:v>Existing Ticket</x:v>
      </x:c>
      <x:c r="L24" s="15" t="str"/>
      <x:c r="M24" s="15" t="str">
        <x:v>CREDENTIAL VAULT INTEGRATION SERVICES a</x:v>
      </x:c>
      <x:c r="N24" s="15" t="str">
        <x:v>PXL_20260816_163543047.MP.txt; created @3/24/2026 9:32 aM ee; updated 6/09/2026 10:56 AM</x:v>
      </x:c>
      <x:c r="O24" s="15" t="str">
        <x:v>Jira key not visible in screenshot; sprint not visible</x:v>
      </x:c>
      <x:c r="P24" s="15" t="str">
        <x:v>Update from Jira export or team owner if any required field is missing.</x:v>
      </x:c>
      <x:c r="Q24" s="15" t="str">
        <x:v>Imported Row 020</x:v>
      </x:c>
    </x:row>
    <x:row r="25">
      <x:c r="A25" s="15" t="str">
        <x:v>Missing Jira Key</x:v>
      </x:c>
      <x:c r="B25" s="15" t="str">
        <x:v>PBFNC-1029</x:v>
      </x:c>
      <x:c r="C25" s="15" t="str">
        <x:v>Release / Deployment</x:v>
      </x:c>
      <x:c r="D25" s="15" t="str">
        <x:v>The EPV release is successfully deployed to the production environment meeting the Definition of Done ad</x:v>
      </x:c>
      <x:c r="E25" s="15" t="str">
        <x:v>Task</x:v>
      </x:c>
      <x:c r="F25" s="15" t="str">
        <x:v>To do</x:v>
      </x:c>
      <x:c r="G25" s="15" t="str">
        <x:v>Maclean, Mike SS</x:v>
      </x:c>
      <x:c r="H25" s="15" t="str"/>
      <x:c r="I25" s="15" t="str"/>
      <x:c r="J25" s="15" t="str">
        <x:v>Medium</x:v>
      </x:c>
      <x:c r="K25" s="15" t="str">
        <x:v>Existing Ticket</x:v>
      </x:c>
      <x:c r="L25" s="15" t="str"/>
      <x:c r="M25" s="15" t="str">
        <x:v>CREDENTIAL VAULT INTEGRATION SERVICES I</x:v>
      </x:c>
      <x:c r="N25" s="15" t="str">
        <x:v>PXL_20260816_163543047.MP.txt; created @3/24/2026 9:32 AM; updated @6/09/2026 10:57 AM</x:v>
      </x:c>
      <x:c r="O25" s="15" t="str">
        <x:v>Jira key not visible in screenshot; sprint not visible</x:v>
      </x:c>
      <x:c r="P25" s="15" t="str">
        <x:v>Update from Jira export or team owner if any required field is missing.</x:v>
      </x:c>
      <x:c r="Q25" s="15" t="str">
        <x:v>Imported Row 021</x:v>
      </x:c>
    </x:row>
    <x:row r="26">
      <x:c r="A26" s="15" t="str">
        <x:v>Missing Jira Key</x:v>
      </x:c>
      <x:c r="B26" s="15" t="str">
        <x:v>PBFNC-1029</x:v>
      </x:c>
      <x:c r="C26" s="15" t="str">
        <x:v>Release / Deployment</x:v>
      </x:c>
      <x:c r="D26" s="15" t="str">
        <x:v>This task is to review the Release with Operations</x:v>
      </x:c>
      <x:c r="E26" s="15" t="str">
        <x:v>Task</x:v>
      </x:c>
      <x:c r="F26" s="15" t="str">
        <x:v>To do</x:v>
      </x:c>
      <x:c r="G26" s="15" t="str">
        <x:v>O'brien, Sharman</x:v>
      </x:c>
      <x:c r="H26" s="15" t="str"/>
      <x:c r="I26" s="15" t="str"/>
      <x:c r="J26" s="15" t="str">
        <x:v>Medium</x:v>
      </x:c>
      <x:c r="K26" s="15" t="str">
        <x:v>Existing Ticket</x:v>
      </x:c>
      <x:c r="L26" s="15" t="str"/>
      <x:c r="M26" s="15" t="str">
        <x:v>CREDENTIAL VAULT INTEGRATION SERVICES’</x:v>
      </x:c>
      <x:c r="N26" s="15" t="str">
        <x:v>PXL_20260816_163543047.MP.txt; created 03/24/2026 9:32 AM i; updated 06/09/2026 10:58 AM ‘</x:v>
      </x:c>
      <x:c r="O26" s="15" t="str">
        <x:v>Jira key not visible in screenshot; sprint not visible</x:v>
      </x:c>
      <x:c r="P26" s="15" t="str">
        <x:v>Update from Jira export or team owner if any required field is missing.</x:v>
      </x:c>
      <x:c r="Q26" s="15" t="str">
        <x:v>Imported Row 022</x:v>
      </x:c>
    </x:row>
    <x:row r="27">
      <x:c r="A27" s="15" t="str">
        <x:v>Missing Jira Key</x:v>
      </x:c>
      <x:c r="B27" s="15" t="str"/>
      <x:c r="C27" s="15" t="str">
        <x:v>Application Rationalization</x:v>
      </x:c>
      <x:c r="D27" s="15" t="str">
        <x:v>ha. Product/Program ID: PRD@011760 *Who to contact if you have pS</x:v>
      </x:c>
      <x:c r="E27" s="15" t="str">
        <x:v>Task</x:v>
      </x:c>
      <x:c r="F27" s="15" t="str">
        <x:v>To do</x:v>
      </x:c>
      <x:c r="G27" s="15" t="str">
        <x:v>TBD</x:v>
      </x:c>
      <x:c r="H27" s="15" t="str"/>
      <x:c r="I27" s="15" t="str"/>
      <x:c r="J27" s="15" t="str">
        <x:v>Medium</x:v>
      </x:c>
      <x:c r="K27" s="15" t="str">
        <x:v>Existing Ticket</x:v>
      </x:c>
      <x:c r="L27" s="15" t="str"/>
      <x:c r="M27" s="15" t="str">
        <x:v>CREDENTIAL VAULT INTEGRATION SERVICES 3</x:v>
      </x:c>
      <x:c r="N27" s="15" t="str">
        <x:v>PXL_20260816_163552208.MP.txt; created 03/25/2026 7:41 AM; updated @8/04/2026 11:45 AM</x:v>
      </x:c>
      <x:c r="O27" s="15" t="str">
        <x:v>Jira key not visible in screenshot; feature link not visible; sprint not visible; summary from acceptance/partial screenshot extract</x:v>
      </x:c>
      <x:c r="P27" s="15" t="str">
        <x:v>Update from Jira export or team owner if any required field is missing.</x:v>
      </x:c>
      <x:c r="Q27" s="15" t="str">
        <x:v>Imported Row 023</x:v>
      </x:c>
    </x:row>
    <x:row r="28">
      <x:c r="A28" s="15" t="str">
        <x:v>Missing Jira Key</x:v>
      </x:c>
      <x:c r="B28" s="15" t="str"/>
      <x:c r="C28" s="15" t="str">
        <x:v>Management Reporting</x:v>
      </x:c>
      <x:c r="D28" s="15" t="str">
        <x:v>“'+*Description - Include any dependencies*+ Orchestra is a modern application development pas</x:v>
      </x:c>
      <x:c r="E28" s="15" t="str">
        <x:v>Task</x:v>
      </x:c>
      <x:c r="F28" s="15" t="str">
        <x:v>To do</x:v>
      </x:c>
      <x:c r="G28" s="15" t="str">
        <x:v>TBD</x:v>
      </x:c>
      <x:c r="H28" s="15" t="str"/>
      <x:c r="I28" s="15" t="str"/>
      <x:c r="J28" s="15" t="str">
        <x:v>Low</x:v>
      </x:c>
      <x:c r="K28" s="15" t="str">
        <x:v>Existing But Incomplete</x:v>
      </x:c>
      <x:c r="L28" s="15" t="str"/>
      <x:c r="M28" s="15" t="str">
        <x:v>CVIS a</x:v>
      </x:c>
      <x:c r="N28" s="15" t="str">
        <x:v>PXL_20260816_163601115.MP.txt; created unknown; updated unknown</x:v>
      </x:c>
      <x:c r="O28" s="15" t="str">
        <x:v>Jira key not visible in screenshot; feature link not visible; sprint not visible; assignee name not visible</x:v>
      </x:c>
      <x:c r="P28" s="15" t="str">
        <x:v>Update from Jira export or team owner if any required field is missing.</x:v>
      </x:c>
      <x:c r="Q28" s="15" t="str">
        <x:v>Imported Row 024</x:v>
      </x:c>
    </x:row>
    <x:row r="29">
      <x:c r="A29" s="15" t="str">
        <x:v>Missing Jira Key</x:v>
      </x:c>
      <x:c r="B29" s="15" t="str">
        <x:v>PBFNC-1056</x:v>
      </x:c>
      <x:c r="C29" s="15" t="str">
        <x:v>Application Rationalization</x:v>
      </x:c>
      <x:c r="D29" s="15" t="str">
        <x:v>Gather the requirements that can be fulfilled by the CVIS team to support the Exclusion list</x:v>
      </x:c>
      <x:c r="E29" s="15" t="str">
        <x:v>Task</x:v>
      </x:c>
      <x:c r="F29" s="15" t="str">
        <x:v>Done</x:v>
      </x:c>
      <x:c r="G29" s="15" t="str">
        <x:v>Mian, Yasser N</x:v>
      </x:c>
      <x:c r="H29" s="15" t="str"/>
      <x:c r="I29" s="15" t="str"/>
      <x:c r="J29" s="15" t="str">
        <x:v>Medium</x:v>
      </x:c>
      <x:c r="K29" s="15" t="str">
        <x:v>Existing Ticket</x:v>
      </x:c>
      <x:c r="L29" s="15" t="str"/>
      <x:c r="M29" s="15" t="str">
        <x:v>CREDENTIAL VAULT INTEGRATION SERVICES ae</x:v>
      </x:c>
      <x:c r="N29" s="15" t="str">
        <x:v>PXL_20260816_163611925.MP.txt; created 04/07/2026 11:12 AM; updated 05/26/2026 11:31 AM</x:v>
      </x:c>
      <x:c r="O29" s="15" t="str">
        <x:v>Jira key not visible in screenshot; sprint not visible</x:v>
      </x:c>
      <x:c r="P29" s="15" t="str">
        <x:v>Update from Jira export or team owner if any required field is missing.</x:v>
      </x:c>
      <x:c r="Q29" s="15" t="str">
        <x:v>Imported Row 025</x:v>
      </x:c>
    </x:row>
    <x:row r="30">
      <x:c r="A30" s="15" t="str">
        <x:v>Missing Jira Key</x:v>
      </x:c>
      <x:c r="B30" s="15" t="str"/>
      <x:c r="C30" s="15" t="str">
        <x:v>Application Rationalization</x:v>
      </x:c>
      <x:c r="D30" s="15" t="str">
        <x:v>“he *Product/Program 1D:*[} * Program ID PRGQQ30183 * Project</x:v>
      </x:c>
      <x:c r="E30" s="15" t="str">
        <x:v>Task</x:v>
      </x:c>
      <x:c r="F30" s="15" t="str">
        <x:v>To do</x:v>
      </x:c>
      <x:c r="G30" s="15" t="str">
        <x:v>TBD</x:v>
      </x:c>
      <x:c r="H30" s="15" t="str"/>
      <x:c r="I30" s="15" t="str"/>
      <x:c r="J30" s="15" t="str">
        <x:v>Medium</x:v>
      </x:c>
      <x:c r="K30" s="15" t="str">
        <x:v>Existing Ticket</x:v>
      </x:c>
      <x:c r="L30" s="15" t="str"/>
      <x:c r="M30" s="15" t="str">
        <x:v>CREDENTIAL VAULT INTEGRATION SERVICES a</x:v>
      </x:c>
      <x:c r="N30" s="15" t="str">
        <x:v>PXL_20260816_163611925.MP.txt; created 04/21/2026 6:32 AM Pe; updated 08/04/2026 11:49 AM</x:v>
      </x:c>
      <x:c r="O30" s="15" t="str">
        <x:v>Jira key not visible in screenshot; feature link not visible; sprint not visible; summary from acceptance/partial screenshot extract</x:v>
      </x:c>
      <x:c r="P30" s="15" t="str">
        <x:v>Update from Jira export or team owner if any required field is missing.</x:v>
      </x:c>
      <x:c r="Q30" s="15" t="str">
        <x:v>Imported Row 026</x:v>
      </x:c>
    </x:row>
    <x:row r="31">
      <x:c r="A31" s="15" t="str">
        <x:v>Missing Jira Key</x:v>
      </x:c>
      <x:c r="B31" s="15" t="str"/>
      <x:c r="C31" s="15" t="str">
        <x:v>Management Reporting</x:v>
      </x:c>
      <x:c r="D31" s="15" t="str">
        <x:v>h4. *Product/Program ID:* * Program ID PRG@030183 * Project</x:v>
      </x:c>
      <x:c r="E31" s="15" t="str">
        <x:v>Task</x:v>
      </x:c>
      <x:c r="F31" s="15" t="str">
        <x:v>To do</x:v>
      </x:c>
      <x:c r="G31" s="15" t="str">
        <x:v>TBD</x:v>
      </x:c>
      <x:c r="H31" s="15" t="str"/>
      <x:c r="I31" s="15" t="str"/>
      <x:c r="J31" s="15" t="str">
        <x:v>Low</x:v>
      </x:c>
      <x:c r="K31" s="15" t="str">
        <x:v>Existing But Incomplete</x:v>
      </x:c>
      <x:c r="L31" s="15" t="str"/>
      <x:c r="M31" s="15" t="str">
        <x:v>CVIS Jira export</x:v>
      </x:c>
      <x:c r="N31" s="15" t="str">
        <x:v>PXL_20260816_163623198.MP.txt; created unknown; updated unknown</x:v>
      </x:c>
      <x:c r="O31" s="15" t="str">
        <x:v>Jira key not visible in screenshot; feature link not visible; sprint not visible; assignee name not visible; summary from acceptance/partial screenshot extract</x:v>
      </x:c>
      <x:c r="P31" s="15" t="str">
        <x:v>Update from Jira export or team owner if any required field is missing.</x:v>
      </x:c>
      <x:c r="Q31" s="15" t="str">
        <x:v>Imported Row 027</x:v>
      </x:c>
    </x:row>
    <x:row r="32">
      <x:c r="A32" s="15" t="str">
        <x:v>Missing Jira Key</x:v>
      </x:c>
      <x:c r="B32" s="15" t="str">
        <x:v>PBFNC-1008</x:v>
      </x:c>
      <x:c r="C32" s="15" t="str">
        <x:v>Release / Deployment</x:v>
      </x:c>
      <x:c r="D32" s="15" t="str">
        <x:v>This task is to review the Release with Operations</x:v>
      </x:c>
      <x:c r="E32" s="15" t="str">
        <x:v>Task</x:v>
      </x:c>
      <x:c r="F32" s="15" t="str">
        <x:v>Done</x:v>
      </x:c>
      <x:c r="G32" s="15" t="str">
        <x:v>O'brien, Sharman</x:v>
      </x:c>
      <x:c r="H32" s="15" t="str"/>
      <x:c r="I32" s="15" t="str"/>
      <x:c r="J32" s="15" t="str">
        <x:v>Medium</x:v>
      </x:c>
      <x:c r="K32" s="15" t="str">
        <x:v>Existing Ticket</x:v>
      </x:c>
      <x:c r="L32" s="15" t="str"/>
      <x:c r="M32" s="15" t="str">
        <x:v>SOTA</x:v>
      </x:c>
      <x:c r="N32" s="15" t="str">
        <x:v>PXL_20260816_163805511.MP.txt; created unknown; updated unknown</x:v>
      </x:c>
      <x:c r="O32" s="15" t="str">
        <x:v>Jira key not visible in screenshot; sprint not visible</x:v>
      </x:c>
      <x:c r="P32" s="15" t="str">
        <x:v>Update from Jira export or team owner if any required field is missing.</x:v>
      </x:c>
      <x:c r="Q32" s="15" t="str">
        <x:v>Imported Row 028</x:v>
      </x:c>
    </x:row>
    <x:row r="33">
      <x:c r="A33" s="15" t="str">
        <x:v>Missing Jira Key</x:v>
      </x:c>
      <x:c r="B33" s="15" t="str">
        <x:v>PBFNC-1008</x:v>
      </x:c>
      <x:c r="C33" s="15" t="str">
        <x:v>NFRs / Governance</x:v>
      </x:c>
      <x:c r="D33" s="15" t="str">
        <x:v>h3. Vulnerability Overview</x:v>
      </x:c>
      <x:c r="E33" s="15" t="str">
        <x:v>Task</x:v>
      </x:c>
      <x:c r="F33" s="15" t="str">
        <x:v>Done</x:v>
      </x:c>
      <x:c r="G33" s="15" t="str">
        <x:v>Olson, Jon o</x:v>
      </x:c>
      <x:c r="H33" s="15" t="str"/>
      <x:c r="I33" s="15" t="str"/>
      <x:c r="J33" s="15" t="str">
        <x:v>Medium</x:v>
      </x:c>
      <x:c r="K33" s="15" t="str">
        <x:v>Existing Ticket</x:v>
      </x:c>
      <x:c r="L33" s="15" t="str"/>
      <x:c r="M33" s="15" t="str">
        <x:v>r e</x:v>
      </x:c>
      <x:c r="N33" s="15" t="str">
        <x:v>PXL_20260816_163805511.MP.txt; created 06/05/2026 11:48 AM; updated 06/24/2026 6:22 AM f</x:v>
      </x:c>
      <x:c r="O33" s="15" t="str">
        <x:v>Jira key not visible in screenshot; sprint not visible</x:v>
      </x:c>
      <x:c r="P33" s="15" t="str">
        <x:v>Update from Jira export or team owner if any required field is missing.</x:v>
      </x:c>
      <x:c r="Q33" s="15" t="str">
        <x:v>Imported Row 029</x:v>
      </x:c>
    </x:row>
    <x:row r="34">
      <x:c r="A34" s="15" t="str">
        <x:v>Missing Jira Key</x:v>
      </x:c>
      <x:c r="B34" s="15" t="str"/>
      <x:c r="C34" s="15" t="str">
        <x:v>NFRs / Governance</x:v>
      </x:c>
      <x:c r="D34" s="15" t="str">
        <x:v>h3. Vulnerability Overview</x:v>
      </x:c>
      <x:c r="E34" s="15" t="str">
        <x:v>Task</x:v>
      </x:c>
      <x:c r="F34" s="15" t="str">
        <x:v>To do</x:v>
      </x:c>
      <x:c r="G34" s="15" t="str">
        <x:v>TBD</x:v>
      </x:c>
      <x:c r="H34" s="15" t="str"/>
      <x:c r="I34" s="15" t="str"/>
      <x:c r="J34" s="15" t="str">
        <x:v>Medium</x:v>
      </x:c>
      <x:c r="K34" s="15" t="str">
        <x:v>Existing Ticket</x:v>
      </x:c>
      <x:c r="L34" s="15" t="str"/>
      <x:c r="M34" s="15" t="str">
        <x:v>nat</x:v>
      </x:c>
      <x:c r="N34" s="15" t="str">
        <x:v>PXL_20260816_163834628.MP.txt; created 06/05/2026 11:48 AM; updated 06/05/2026 11:48 AM</x:v>
      </x:c>
      <x:c r="O34" s="15" t="str">
        <x:v>Jira key not visible in screenshot; feature link not visible; sprint not visible</x:v>
      </x:c>
      <x:c r="P34" s="15" t="str">
        <x:v>Update from Jira export or team owner if any required field is missing.</x:v>
      </x:c>
      <x:c r="Q34" s="15" t="str">
        <x:v>Imported Row 030</x:v>
      </x:c>
    </x:row>
    <x:row r="35">
      <x:c r="A35" s="15" t="str">
        <x:v>Missing Jira Key</x:v>
      </x:c>
      <x:c r="B35" s="15" t="str"/>
      <x:c r="C35" s="15" t="str">
        <x:v>NFRs / Governance</x:v>
      </x:c>
      <x:c r="D35" s="15" t="str">
        <x:v>h3. Vulnerability Overview ae</x:v>
      </x:c>
      <x:c r="E35" s="15" t="str">
        <x:v>Task</x:v>
      </x:c>
      <x:c r="F35" s="15" t="str">
        <x:v>Toyo a</x:v>
      </x:c>
      <x:c r="G35" s="15" t="str">
        <x:v>TBD</x:v>
      </x:c>
      <x:c r="H35" s="15" t="str"/>
      <x:c r="I35" s="15" t="str"/>
      <x:c r="J35" s="15" t="str">
        <x:v>Low</x:v>
      </x:c>
      <x:c r="K35" s="15" t="str">
        <x:v>Existing But Incomplete</x:v>
      </x:c>
      <x:c r="L35" s="15" t="str"/>
      <x:c r="M35" s="15" t="str">
        <x:v>*’ es a</x:v>
      </x:c>
      <x:c r="N35" s="15" t="str">
        <x:v>PXL_20260816_163834628.MP.txt; created unknown; updated unknown</x:v>
      </x:c>
      <x:c r="O35" s="15" t="str">
        <x:v>Jira key not visible in screenshot; feature link not visible; sprint not visible</x:v>
      </x:c>
      <x:c r="P35" s="15" t="str">
        <x:v>Update from Jira export or team owner if any required field is missing.</x:v>
      </x:c>
      <x:c r="Q35" s="15" t="str">
        <x:v>Imported Row 031</x:v>
      </x:c>
    </x:row>
    <x:row r="36">
      <x:c r="A36" s="15" t="str">
        <x:v>Missing Jira Key</x:v>
      </x:c>
      <x:c r="B36" s="15" t="str"/>
      <x:c r="C36" s="15" t="str">
        <x:v>Unity Architecture</x:v>
      </x:c>
      <x:c r="D36" s="15" t="str">
        <x:v>Add Unity A.M.I.E. intake API endpoints in src/Unity.Microservice to accept inbound external client</x:v>
      </x:c>
      <x:c r="E36" s="15" t="str">
        <x:v>Task</x:v>
      </x:c>
      <x:c r="F36" s="15" t="str">
        <x:v>To do</x:v>
      </x:c>
      <x:c r="G36" s="15" t="str">
        <x:v>Burger, Matthew ee</x:v>
      </x:c>
      <x:c r="H36" s="15" t="str"/>
      <x:c r="I36" s="15" t="str"/>
      <x:c r="J36" s="15" t="str">
        <x:v>Medium</x:v>
      </x:c>
      <x:c r="K36" s="15" t="str">
        <x:v>Existing Ticket</x:v>
      </x:c>
      <x:c r="L36" s="15" t="str"/>
      <x:c r="M36" s="15" t="str">
        <x:v>js</x:v>
      </x:c>
      <x:c r="N36" s="15" t="str">
        <x:v>PXL_20260816_164829126.MP.txt; created 08/10/2026 7:22 AM i; updated @8/11/2026 7:17 AM</x:v>
      </x:c>
      <x:c r="O36" s="15" t="str">
        <x:v>Jira key not visible in screenshot; feature link not visible; sprint not visible</x:v>
      </x:c>
      <x:c r="P36" s="15" t="str">
        <x:v>Update from Jira export or team owner if any required field is missing.</x:v>
      </x:c>
      <x:c r="Q36" s="15" t="str">
        <x:v>Imported Row 032</x:v>
      </x:c>
    </x:row>
    <x:row r="37">
      <x:c r="A37" s="15" t="str">
        <x:v>Missing Jira Key</x:v>
      </x:c>
      <x:c r="B37" s="15" t="str"/>
      <x:c r="C37" s="15" t="str">
        <x:v>Unity Architecture</x:v>
      </x:c>
      <x:c r="D37" s="15" t="str">
        <x:v>Create the UnityRoutingRequest, RoutingDestination, and RoutingDecision models in the Unity clean</x:v>
      </x:c>
      <x:c r="E37" s="15" t="str">
        <x:v>Task</x:v>
      </x:c>
      <x:c r="F37" s="15" t="str">
        <x:v>To do</x:v>
      </x:c>
      <x:c r="G37" s="15" t="str">
        <x:v>TBD</x:v>
      </x:c>
      <x:c r="H37" s="15" t="str"/>
      <x:c r="I37" s="15" t="str"/>
      <x:c r="J37" s="15" t="str">
        <x:v>Low</x:v>
      </x:c>
      <x:c r="K37" s="15" t="str">
        <x:v>Existing But Incomplete</x:v>
      </x:c>
      <x:c r="L37" s="15" t="str"/>
      <x:c r="M37" s="15" t="str">
        <x:v>**</x:v>
      </x:c>
      <x:c r="N37" s="15" t="str">
        <x:v>PXL_20260816_164829126.MP.txt; created 08/10/2026 7:22 AM; updated 8/10/2026 7:22 AM a</x:v>
      </x:c>
      <x:c r="O37" s="15" t="str">
        <x:v>Jira key not visible in screenshot; feature link not visible; sprint not visible; assignee name not visible</x:v>
      </x:c>
      <x:c r="P37" s="15" t="str">
        <x:v>Update from Jira export or team owner if any required field is missing.</x:v>
      </x:c>
      <x:c r="Q37" s="15" t="str">
        <x:v>Imported Row 033</x:v>
      </x:c>
    </x:row>
    <x:row r="38">
      <x:c r="A38" s="15" t="str">
        <x:v>Missing Jira Key</x:v>
      </x:c>
      <x:c r="B38" s="15" t="str"/>
      <x:c r="C38" s="15" t="str">
        <x:v>Unity Architecture</x:v>
      </x:c>
      <x:c r="D38" s="15" t="str">
        <x:v>Create the application-layer pipeline that transforms heterogeneous external payloads into the canonical “ae</x:v>
      </x:c>
      <x:c r="E38" s="15" t="str">
        <x:v>Task</x:v>
      </x:c>
      <x:c r="F38" s="15" t="str">
        <x:v>To do</x:v>
      </x:c>
      <x:c r="G38" s="15" t="str">
        <x:v>TBD</x:v>
      </x:c>
      <x:c r="H38" s="15" t="str"/>
      <x:c r="I38" s="15" t="str"/>
      <x:c r="J38" s="15" t="str">
        <x:v>Medium</x:v>
      </x:c>
      <x:c r="K38" s="15" t="str">
        <x:v>Existing Ticket</x:v>
      </x:c>
      <x:c r="L38" s="15" t="str"/>
      <x:c r="M38" s="15" t="str">
        <x:v>a</x:v>
      </x:c>
      <x:c r="N38" s="15" t="str">
        <x:v>PXL_20260816_164829126.MP.txt; created 08/10/2026 7:22 AM; updated 08/10/2026 7:22 AM a</x:v>
      </x:c>
      <x:c r="O38" s="15" t="str">
        <x:v>Jira key not visible in screenshot; feature link not visible; sprint not visible</x:v>
      </x:c>
      <x:c r="P38" s="15" t="str">
        <x:v>Update from Jira export or team owner if any required field is missing.</x:v>
      </x:c>
      <x:c r="Q38" s="15" t="str">
        <x:v>Imported Row 034</x:v>
      </x:c>
    </x:row>
    <x:row r="39">
      <x:c r="A39" s="15" t="str">
        <x:v>Missing Jira Key</x:v>
      </x:c>
      <x:c r="B39" s="15" t="str"/>
      <x:c r="C39" s="15" t="str">
        <x:v>Unity Architecture</x:v>
      </x:c>
      <x:c r="D39" s="15" t="str">
        <x:v>Create compatibility tests comparing legacy command behavior against microservice event handling outcomes mantels</x:v>
      </x:c>
      <x:c r="E39" s="15" t="str">
        <x:v>Task</x:v>
      </x:c>
      <x:c r="F39" s="15" t="str">
        <x:v>To do</x:v>
      </x:c>
      <x:c r="G39" s="15" t="str">
        <x:v>TBD</x:v>
      </x:c>
      <x:c r="H39" s="15" t="str"/>
      <x:c r="I39" s="15" t="str"/>
      <x:c r="J39" s="15" t="str">
        <x:v>Low</x:v>
      </x:c>
      <x:c r="K39" s="15" t="str">
        <x:v>Existing But Incomplete</x:v>
      </x:c>
      <x:c r="L39" s="15" t="str"/>
      <x:c r="M39" s="15" t="str">
        <x:v>°°</x:v>
      </x:c>
      <x:c r="N39" s="15" t="str">
        <x:v>PXL_20260816_165027491.MP.txt; created 08/10/2026 7:22 AM; updated 8/10/2026 7:22 AM per</x:v>
      </x:c>
      <x:c r="O39" s="15" t="str">
        <x:v>Jira key not visible in screenshot; feature link not visible; sprint not visible; assignee name not visible</x:v>
      </x:c>
      <x:c r="P39" s="15" t="str">
        <x:v>Update from Jira export or team owner if any required field is missing.</x:v>
      </x:c>
      <x:c r="Q39" s="15" t="str">
        <x:v>Imported Row 035</x:v>
      </x:c>
    </x:row>
    <x:row r="40">
      <x:c r="A40" s="15" t="str">
        <x:v>Missing Jira Key</x:v>
      </x:c>
      <x:c r="B40" s="15" t="str"/>
      <x:c r="C40" s="15" t="str">
        <x:v>Management Reporting</x:v>
      </x:c>
      <x:c r="D40" s="15" t="str"/>
      <x:c r="E40" s="15" t="str">
        <x:v>Task</x:v>
      </x:c>
      <x:c r="F40" s="15" t="str">
        <x:v>To do</x:v>
      </x:c>
      <x:c r="G40" s="15" t="str">
        <x:v>TBD</x:v>
      </x:c>
      <x:c r="H40" s="15" t="str"/>
      <x:c r="I40" s="15" t="str"/>
      <x:c r="J40" s="15" t="str">
        <x:v>Medium</x:v>
      </x:c>
      <x:c r="K40" s="15" t="str">
        <x:v>Existing Ticket</x:v>
      </x:c>
      <x:c r="L40" s="15" t="str"/>
      <x:c r="M40" s="15" t="str">
        <x:v>CVIS Jira export</x:v>
      </x:c>
      <x:c r="N40" s="15" t="str">
        <x:v>PXL_20260816_165027491.MP.txt; created 08/10/2026 7:22 AM et; updated 98/10/2026 7:22 AM 3</x:v>
      </x:c>
      <x:c r="O40" s="15" t="str">
        <x:v>Jira key not visible in screenshot; feature link not visible; sprint not visible; summary from acceptance/partial screenshot extract</x:v>
      </x:c>
      <x:c r="P40" s="15" t="str">
        <x:v>Update from Jira export or team owner if any required field is missing.</x:v>
      </x:c>
      <x:c r="Q40" s="15" t="str">
        <x:v>Imported Row 036</x:v>
      </x:c>
    </x:row>
    <x:row r="41">
      <x:c r="A41" s="15" t="str">
        <x:v>Missing Jira Key</x:v>
      </x:c>
      <x:c r="B41" s="15" t="str"/>
      <x:c r="C41" s="15" t="str">
        <x:v>Release / Deployment</x:v>
      </x:c>
      <x:c r="D41" s="15" t="str">
        <x:v>RSA removal release for legacy apps</x:v>
      </x:c>
      <x:c r="E41" s="15" t="str">
        <x:v>Story</x:v>
      </x:c>
      <x:c r="F41" s="15" t="str">
        <x:v>Known / ID Needed</x:v>
      </x:c>
      <x:c r="G41" s="15" t="str">
        <x:v>Yasser</x:v>
      </x:c>
      <x:c r="H41" s="15" t="str">
        <x:v>After 2026-08-25</x:v>
      </x:c>
      <x:c r="I41" s="15" t="str"/>
      <x:c r="J41" s="15" t="str">
        <x:v>Medium</x:v>
      </x:c>
      <x:c r="K41" s="15" t="str">
        <x:v>Existing But Incomplete</x:v>
      </x:c>
      <x:c r="L41" s="15" t="str">
        <x:v>CAB / CHK, RSA retirement</x:v>
      </x:c>
      <x:c r="M41" s="15" t="str">
        <x:v>RSA Retirement Release</x:v>
      </x:c>
      <x:c r="N41" s="15" t="str">
        <x:v>Larry update 2026-08-16</x:v>
      </x:c>
      <x:c r="O41" s="15" t="str">
        <x:v>Need exact Jira key, CAB/CHK linkage, release status, and validation evidence.</x:v>
      </x:c>
      <x:c r="P41" s="15" t="str">
        <x:v>Ask Yasser for ticket key, release date, CAB/CHK status, and deployment evidence.</x:v>
      </x:c>
      <x:c r="Q41" s="15" t="str">
        <x:v>Manual Gap 001</x:v>
      </x:c>
    </x:row>
    <x:row r="42">
      <x:c r="A42" s="15" t="str">
        <x:v>Not Submitted</x:v>
      </x:c>
      <x:c r="B42" s="15" t="str"/>
      <x:c r="C42" s="15" t="str">
        <x:v>Container Onboarding</x:v>
      </x:c>
      <x:c r="D42" s="15" t="str">
        <x:v>Container resource request / OCP-Kubernetes onboarding</x:v>
      </x:c>
      <x:c r="E42" s="15" t="str">
        <x:v>Task</x:v>
      </x:c>
      <x:c r="F42" s="15" t="str">
        <x:v>Not Submitted</x:v>
      </x:c>
      <x:c r="G42" s="15" t="str">
        <x:v>CVIS / Matthew Burger</x:v>
      </x:c>
      <x:c r="H42" s="15" t="str">
        <x:v>After PtB approval</x:v>
      </x:c>
      <x:c r="I42" s="15" t="str"/>
      <x:c r="J42" s="15" t="str">
        <x:v>Low</x:v>
      </x:c>
      <x:c r="K42" s="15" t="str">
        <x:v>Missing Ticket</x:v>
      </x:c>
      <x:c r="L42" s="15" t="str">
        <x:v>PtB approval</x:v>
      </x:c>
      <x:c r="M42" s="15" t="str">
        <x:v>PtB-Gated Resource Requests</x:v>
      </x:c>
      <x:c r="N42" s="15" t="str">
        <x:v>Larry update 2026-08-16</x:v>
      </x:c>
      <x:c r="O42" s="15" t="str">
        <x:v>Cannot submit until PtB clears; ticket does not yet prove lead time.</x:v>
      </x:c>
      <x:c r="P42" s="15" t="str">
        <x:v>Create ticket/request immediately after PtB approval and record request ID.</x:v>
      </x:c>
      <x:c r="Q42" s="15" t="str">
        <x:v>Manual Gap 002</x:v>
      </x:c>
    </x:row>
    <x:row r="43">
      <x:c r="A43" s="15" t="str">
        <x:v>Not Submitted</x:v>
      </x:c>
      <x:c r="B43" s="15" t="str"/>
      <x:c r="C43" s="15" t="str">
        <x:v>Apigee / API Onboarding</x:v>
      </x:c>
      <x:c r="D43" s="15" t="str">
        <x:v>Apigee/API resource request for DB/API access path</x:v>
      </x:c>
      <x:c r="E43" s="15" t="str">
        <x:v>Task</x:v>
      </x:c>
      <x:c r="F43" s="15" t="str">
        <x:v>Not Submitted</x:v>
      </x:c>
      <x:c r="G43" s="15" t="str">
        <x:v>CVIS / API Team</x:v>
      </x:c>
      <x:c r="H43" s="15" t="str">
        <x:v>After PtB approval</x:v>
      </x:c>
      <x:c r="I43" s="15" t="str"/>
      <x:c r="J43" s="15" t="str">
        <x:v>Low</x:v>
      </x:c>
      <x:c r="K43" s="15" t="str">
        <x:v>Missing Ticket</x:v>
      </x:c>
      <x:c r="L43" s="15" t="str">
        <x:v>PtB approval</x:v>
      </x:c>
      <x:c r="M43" s="15" t="str">
        <x:v>PtB-Gated Resource Requests</x:v>
      </x:c>
      <x:c r="N43" s="15" t="str">
        <x:v>Larry update 2026-08-16</x:v>
      </x:c>
      <x:c r="O43" s="15" t="str">
        <x:v>Cannot submit until PtB clears; estimate must use dependency lead-time assumption until request is accepted.</x:v>
      </x:c>
      <x:c r="P43" s="15" t="str">
        <x:v>Create ticket/request immediately after PtB approval and record request ID.</x:v>
      </x:c>
      <x:c r="Q43" s="15" t="str">
        <x:v>Manual Gap 003</x:v>
      </x:c>
    </x:row>
    <x:row r="44">
      <x:c r="A44" s="15" t="str">
        <x:v>Missing Jira Key</x:v>
      </x:c>
      <x:c r="B44" s="15" t="str"/>
      <x:c r="C44" s="15" t="str">
        <x:v>Unity Architecture</x:v>
      </x:c>
      <x:c r="D44" s="15" t="str">
        <x:v>PtB-ready architecture package and approval</x:v>
      </x:c>
      <x:c r="E44" s="15" t="str">
        <x:v>Task</x:v>
      </x:c>
      <x:c r="F44" s="15" t="str">
        <x:v>In Progress</x:v>
      </x:c>
      <x:c r="G44" s="15" t="str">
        <x:v>Architecture / CVIS</x:v>
      </x:c>
      <x:c r="H44" s="15" t="str">
        <x:v>2026-08-19 to early Sprint 18</x:v>
      </x:c>
      <x:c r="I44" s="15" t="str"/>
      <x:c r="J44" s="15" t="str">
        <x:v>Medium</x:v>
      </x:c>
      <x:c r="K44" s="15" t="str">
        <x:v>Needs Estimate</x:v>
      </x:c>
      <x:c r="L44" s="15" t="str">
        <x:v>Architecture review availability</x:v>
      </x:c>
      <x:c r="M44" s="15" t="str">
        <x:v>Permit to Build Package</x:v>
      </x:c>
      <x:c r="N44" s="15" t="str">
        <x:v>Larry update 2026-08-16</x:v>
      </x:c>
      <x:c r="O44" s="15" t="str">
        <x:v>Need named PtB owner, review slot, and final approval ticket/reference.</x:v>
      </x:c>
      <x:c r="P44" s="15" t="str">
        <x:v>Capture owner, target meeting date, and approval evidence.</x:v>
      </x:c>
      <x:c r="Q44" s="15" t="str">
        <x:v>Manual Gap 004</x:v>
      </x:c>
    </x:row>
    <x:row r="45">
      <x:c r="A45" s="15" t="str">
        <x:v>Not Submitted</x:v>
      </x:c>
      <x:c r="B45" s="15" t="str"/>
      <x:c r="C45" s="15" t="str">
        <x:v>Management Reporting</x:v>
      </x:c>
      <x:c r="D45" s="15" t="str">
        <x:v>BCP exception due to re-baselined PtB/migration path</x:v>
      </x:c>
      <x:c r="E45" s="15" t="str">
        <x:v>Task</x:v>
      </x:c>
      <x:c r="F45" s="15" t="str">
        <x:v>Not Started</x:v>
      </x:c>
      <x:c r="G45" s="15" t="str">
        <x:v>CVIS / Governance</x:v>
      </x:c>
      <x:c r="H45" s="15" t="str">
        <x:v>Sprint 17-18</x:v>
      </x:c>
      <x:c r="I45" s="15" t="str"/>
      <x:c r="J45" s="15" t="str">
        <x:v>Low</x:v>
      </x:c>
      <x:c r="K45" s="15" t="str">
        <x:v>Missing Ticket</x:v>
      </x:c>
      <x:c r="L45" s="15" t="str">
        <x:v>Governance exception path</x:v>
      </x:c>
      <x:c r="M45" s="15" t="str">
        <x:v>BCP Test Exception</x:v>
      </x:c>
      <x:c r="N45" s="15" t="str">
        <x:v>Larry update 2026-08-16</x:v>
      </x:c>
      <x:c r="O45" s="15" t="str">
        <x:v>Need exception ticket/process, owner, and revised control plan.</x:v>
      </x:c>
      <x:c r="P45" s="15" t="str">
        <x:v>Open/route BCP exception and link it to recovery milestones.</x:v>
      </x:c>
      <x:c r="Q45" s="15" t="str">
        <x:v>Manual Gap 005</x:v>
      </x:c>
    </x:row>
    <x:row r="46">
      <x:c r="A46" s="15" t="str">
        <x:v>Not Submitted</x:v>
      </x:c>
      <x:c r="B46" s="15" t="str"/>
      <x:c r="C46" s="15" t="str">
        <x:v>Release / Deployment</x:v>
      </x:c>
      <x:c r="D46" s="15" t="str">
        <x:v>CAB / CHK release-control coverage for modernization releases</x:v>
      </x:c>
      <x:c r="E46" s="15" t="str">
        <x:v>CAB</x:v>
      </x:c>
      <x:c r="F46" s="15" t="str">
        <x:v>Not Started</x:v>
      </x:c>
      <x:c r="G46" s="15" t="str">
        <x:v>Release Management / CVIS</x:v>
      </x:c>
      <x:c r="H46" s="15" t="str">
        <x:v>Per release window</x:v>
      </x:c>
      <x:c r="I46" s="15" t="str"/>
      <x:c r="J46" s="15" t="str">
        <x:v>Low</x:v>
      </x:c>
      <x:c r="K46" s="15" t="str">
        <x:v>Missing Ticket</x:v>
      </x:c>
      <x:c r="L46" s="15" t="str">
        <x:v>Release governance</x:v>
      </x:c>
      <x:c r="M46" s="15" t="str">
        <x:v>CAB / CHK Governance</x:v>
      </x:c>
      <x:c r="N46" s="15" t="str">
        <x:v>Larry update 2026-08-16</x:v>
      </x:c>
      <x:c r="O46" s="15" t="str">
        <x:v>Need CAB/CHK IDs for RSA release and future production moves.</x:v>
      </x:c>
      <x:c r="P46" s="15" t="str">
        <x:v>Add CAB and CHK fields to release-facing rows and create missing governance tickets.</x:v>
      </x:c>
      <x:c r="Q46" s="15" t="str">
        <x:v>Manual Gap 006</x:v>
      </x:c>
    </x:row>
    <x:row r="47">
      <x:c r="A47" s="15" t="str">
        <x:v>N/A</x:v>
      </x:c>
      <x:c r="B47" s="15" t="str"/>
      <x:c r="C47" s="15" t="str">
        <x:v>Management Reporting</x:v>
      </x:c>
      <x:c r="D47" s="15" t="str">
        <x:v>INC / SEV schedule-impact tracking</x:v>
      </x:c>
      <x:c r="E47" s="15" t="str">
        <x:v>INC / SEV</x:v>
      </x:c>
      <x:c r="F47" s="15" t="str">
        <x:v>Ongoing</x:v>
      </x:c>
      <x:c r="G47" s="15" t="str">
        <x:v>Production Support / CVIS</x:v>
      </x:c>
      <x:c r="H47" s="15" t="str">
        <x:v>As incidents occur</x:v>
      </x:c>
      <x:c r="I47" s="15" t="str"/>
      <x:c r="J47" s="15" t="str">
        <x:v>Medium</x:v>
      </x:c>
      <x:c r="K47" s="15" t="str">
        <x:v>Needs Split</x:v>
      </x:c>
      <x:c r="L47" s="15" t="str">
        <x:v>Production support interruption</x:v>
      </x:c>
      <x:c r="M47" s="15" t="str">
        <x:v>INC / SEV Production Interruptions</x:v>
      </x:c>
      <x:c r="N47" s="15" t="str">
        <x:v>Larry update 2026-08-16</x:v>
      </x:c>
      <x:c r="O47" s="15" t="str">
        <x:v>Incidents should not be buried in modernization tickets; they need separate schedule-impact rows.</x:v>
      </x:c>
      <x:c r="P47" s="15" t="str">
        <x:v>Log each INC/SEV with severity, owner, time spent, recovery action, and affected sprint.</x:v>
      </x:c>
      <x:c r="Q47" s="15" t="str">
        <x:v>Manual Gap 007</x:v>
      </x:c>
    </x:row>
    <x:row r="48">
      <x:c r="A48" s="15" t="str">
        <x:v>Missing Jira Key</x:v>
      </x:c>
      <x:c r="B48" s="15" t="str"/>
      <x:c r="C48" s="15" t="str">
        <x:v>Application Inventory</x:v>
      </x:c>
      <x:c r="D48" s="15" t="str">
        <x:v>.NET 10 / legacy .NET Framework 4.7 exposure assessment</x:v>
      </x:c>
      <x:c r="E48" s="15" t="str">
        <x:v>Task</x:v>
      </x:c>
      <x:c r="F48" s="15" t="str">
        <x:v>Needed</x:v>
      </x:c>
      <x:c r="G48" s="15" t="str">
        <x:v>CVIS / Architecture</x:v>
      </x:c>
      <x:c r="H48" s="15" t="str">
        <x:v>Before 2026-09-30</x:v>
      </x:c>
      <x:c r="I48" s="15" t="str"/>
      <x:c r="J48" s="15" t="str">
        <x:v>Low</x:v>
      </x:c>
      <x:c r="K48" s="15" t="str">
        <x:v>Missing Ticket</x:v>
      </x:c>
      <x:c r="L48" s="15" t="str">
        <x:v>Unity migration priority</x:v>
      </x:c>
      <x:c r="M48" s="15" t="str">
        <x:v>.NET 10 / Legacy .NET 4.7 Upgrade Pressure</x:v>
      </x:c>
      <x:c r="N48" s="15" t="str">
        <x:v>Larry update 2026-08-16</x:v>
      </x:c>
      <x:c r="O48" s="15" t="str">
        <x:v>Need app-by-app runtime/framework evidence and priority for Unity migration.</x:v>
      </x:c>
      <x:c r="P48" s="15" t="str">
        <x:v>Create assessment ticket or add required fields to Application Inventory owner intake.</x:v>
      </x:c>
      <x:c r="Q48" s="15" t="str">
        <x:v>Manual Gap 008</x:v>
      </x:c>
    </x:row>
    <x:row r="49">
      <x:c r="A49" s="15" t="str">
        <x:v>Missing Jira Key</x:v>
      </x:c>
      <x:c r="B49" s="15" t="str"/>
      <x:c r="C49" s="15" t="str">
        <x:v>Application Inventory</x:v>
      </x:c>
      <x:c r="D49" s="15" t="str">
        <x:v>Rapid application rationalization by owners</x:v>
      </x:c>
      <x:c r="E49" s="15" t="str">
        <x:v>Task</x:v>
      </x:c>
      <x:c r="F49" s="15" t="str">
        <x:v>In Progress</x:v>
      </x:c>
      <x:c r="G49" s="15" t="str">
        <x:v>CVIS Team</x:v>
      </x:c>
      <x:c r="H49" s="15" t="str">
        <x:v>Sprint 17</x:v>
      </x:c>
      <x:c r="I49" s="15" t="str"/>
      <x:c r="J49" s="15" t="str">
        <x:v>Medium</x:v>
      </x:c>
      <x:c r="K49" s="15" t="str">
        <x:v>Needs Split</x:v>
      </x:c>
      <x:c r="L49" s="15" t="str">
        <x:v>Team owner responses</x:v>
      </x:c>
      <x:c r="M49" s="15" t="str">
        <x:v>Application Rationalization</x:v>
      </x:c>
      <x:c r="N49" s="15" t="str">
        <x:v>Meeting notes and portfolio screenshots</x:v>
      </x:c>
      <x:c r="O49" s="15" t="str">
        <x:v>Needs per-app owner, user-facing/internal classification, phase, complexity, and disposition.</x:v>
      </x:c>
      <x:c r="P49" s="15" t="str">
        <x:v>Split by owner/team and track completion against Phase 1 scope lock.</x:v>
      </x:c>
      <x:c r="Q49" s="15" t="str">
        <x:v>Manual Gap 009</x:v>
      </x:c>
    </x:row>
    <x:row r="50">
      <x:c r="A50" s="15" t="str">
        <x:v>Missing Jira Key</x:v>
      </x:c>
      <x:c r="B50" s="15" t="str"/>
      <x:c r="C50" s="15" t="str">
        <x:v>Database</x:v>
      </x:c>
      <x:c r="D50" s="15" t="str">
        <x:v>ESAR and MCC SSIS consumer notification</x:v>
      </x:c>
      <x:c r="E50" s="15" t="str">
        <x:v>Task</x:v>
      </x:c>
      <x:c r="F50" s="15" t="str">
        <x:v>Needed</x:v>
      </x:c>
      <x:c r="G50" s="15" t="str">
        <x:v>CVIS / ESAR / MCC</x:v>
      </x:c>
      <x:c r="H50" s="15" t="str">
        <x:v>Sprint 17-18</x:v>
      </x:c>
      <x:c r="I50" s="15" t="str"/>
      <x:c r="J50" s="15" t="str">
        <x:v>Medium</x:v>
      </x:c>
      <x:c r="K50" s="15" t="str">
        <x:v>Missing Ticket</x:v>
      </x:c>
      <x:c r="L50" s="15" t="str">
        <x:v>DB/API transition</x:v>
      </x:c>
      <x:c r="M50" s="15" t="str">
        <x:v>DB / SSIS Consumer Coordination</x:v>
      </x:c>
      <x:c r="N50" s="15" t="str">
        <x:v>Larry update 2026-08-16</x:v>
      </x:c>
      <x:c r="O50" s="15" t="str">
        <x:v>Need owner contacts, notification dates, and confirmation of remediation plans.</x:v>
      </x:c>
      <x:c r="P50" s="15" t="str">
        <x:v>Create dependency/coordination tickets or log confirmations in Dependencies.</x:v>
      </x:c>
      <x:c r="Q50" s="15" t="str">
        <x:v>Manual Gap 010</x:v>
      </x:c>
    </x:row>
    <x:row r="51">
      <x:c r="A51" s="15" t="str">
        <x:v>Missing Jira Key</x:v>
      </x:c>
      <x:c r="B51" s="15" t="str"/>
      <x:c r="C51" s="15" t="str">
        <x:v>Testing / Validation</x:v>
      </x:c>
      <x:c r="D51" s="15" t="str">
        <x:v>HyperExecute automated testing onboarding</x:v>
      </x:c>
      <x:c r="E51" s="15" t="str">
        <x:v>Task</x:v>
      </x:c>
      <x:c r="F51" s="15" t="str">
        <x:v>Needed</x:v>
      </x:c>
      <x:c r="G51" s="15" t="str">
        <x:v>CVIS / Automated Testing</x:v>
      </x:c>
      <x:c r="H51" s="15" t="str">
        <x:v>Sprint 18+</x:v>
      </x:c>
      <x:c r="I51" s="15" t="str"/>
      <x:c r="J51" s="15" t="str">
        <x:v>Low</x:v>
      </x:c>
      <x:c r="K51" s="15" t="str">
        <x:v>Missing Ticket</x:v>
      </x:c>
      <x:c r="L51" s="15" t="str">
        <x:v>Automated testing readiness</x:v>
      </x:c>
      <x:c r="M51" s="15" t="str">
        <x:v>Platform Onboarding</x:v>
      </x:c>
      <x:c r="N51" s="15" t="str">
        <x:v>Matthew Burger chat screenshots</x:v>
      </x:c>
      <x:c r="O51" s="15" t="str">
        <x:v>Need separate coverage from Harness deployment work.</x:v>
      </x:c>
      <x:c r="P51" s="15" t="str">
        <x:v>Create onboarding/testing-readiness ticket and link to NFR/testing milestones.</x:v>
      </x:c>
      <x:c r="Q51" s="15" t="str">
        <x:v>Manual Gap 011</x:v>
      </x:c>
    </x:row>
    <x:row r="52">
      <x:c r="A52" s="15" t="str">
        <x:v>Missing Jira Key</x:v>
      </x:c>
      <x:c r="B52" s="15" t="str"/>
      <x:c r="C52" s="15" t="str">
        <x:v>NFRs / Governance</x:v>
      </x:c>
      <x:c r="D52" s="15" t="str">
        <x:v>NFR validation and execution coverage</x:v>
      </x:c>
      <x:c r="E52" s="15" t="str">
        <x:v>Task</x:v>
      </x:c>
      <x:c r="F52" s="15" t="str">
        <x:v>Partial</x:v>
      </x:c>
      <x:c r="G52" s="15" t="str">
        <x:v>CVIS / NFR Review</x:v>
      </x:c>
      <x:c r="H52" s="15" t="str">
        <x:v>Sprints 19-23</x:v>
      </x:c>
      <x:c r="I52" s="15" t="str"/>
      <x:c r="J52" s="15" t="str">
        <x:v>Medium</x:v>
      </x:c>
      <x:c r="K52" s="15" t="str">
        <x:v>Existing But Incomplete</x:v>
      </x:c>
      <x:c r="L52" s="15" t="str">
        <x:v>NFR review path</x:v>
      </x:c>
      <x:c r="M52" s="15" t="str">
        <x:v>NFR Approval Path</x:v>
      </x:c>
      <x:c r="N52" s="15" t="str">
        <x:v>Meeting notes</x:v>
      </x:c>
      <x:c r="O52" s="15" t="str">
        <x:v>Need prove each required NFR has ticket/evidence/status, not just a generic NFR row.</x:v>
      </x:c>
      <x:c r="P52" s="15" t="str">
        <x:v>Map NFR tickets to NFR sheet and mark missing evidence gaps.</x:v>
      </x:c>
      <x:c r="Q52" s="15" t="str">
        <x:v>Manual Gap 012</x:v>
      </x:c>
    </x:row>
    <x:row r="53">
      <x:c r="A53" s="15" t="str">
        <x:v>Source Data Needed</x:v>
      </x:c>
      <x:c r="B53" s="15" t="str"/>
      <x:c r="C53" s="15" t="str">
        <x:v>Management Reporting</x:v>
      </x:c>
      <x:c r="D53" s="15" t="str">
        <x:v>Jira screenshot batch import coverage</x:v>
      </x:c>
      <x:c r="E53" s="15" t="str">
        <x:v>Task</x:v>
      </x:c>
      <x:c r="F53" s="15" t="str">
        <x:v>Source Review</x:v>
      </x:c>
      <x:c r="G53" s="15" t="str">
        <x:v>CVIS / Larry</x:v>
      </x:c>
      <x:c r="H53" s="15" t="str">
        <x:v>Sprint 17</x:v>
      </x:c>
      <x:c r="I53" s="15" t="str"/>
      <x:c r="J53" s="15" t="str">
        <x:v>Low</x:v>
      </x:c>
      <x:c r="K53" s="15" t="str">
        <x:v>Source Data Needed</x:v>
      </x:c>
      <x:c r="L53" s="15" t="str">
        <x:v>Screenshot readability</x:v>
      </x:c>
      <x:c r="M53" s="15" t="str">
        <x:v>JiraTickets(1).zip</x:v>
      </x:c>
      <x:c r="N53" s="15" t="str">
        <x:v>JiraTickets(1).zip: 78 JPG screenshots; 36 parsed rows; 60 screenshots still need Jira export or owner-supplied keys.</x:v>
      </x:c>
      <x:c r="O53" s="15" t="str">
        <x:v>The file arrived as screenshots rather than machine-readable YAML/CSV.</x:v>
      </x:c>
      <x:c r="P53" s="15" t="str">
        <x:v>Use Jira export if available; otherwise have owners supply missing keys and required ticket fields.</x:v>
      </x:c>
      <x:c r="Q53" s="15" t="str">
        <x:v>Source Audit</x:v>
      </x:c>
    </x:row>
    <x:row r="54">
      <x:c r="A54" s="15" t="str"/>
      <x:c r="B54" s="15" t="str"/>
      <x:c r="C54" s="15" t="str"/>
      <x:c r="D54" s="15" t="str"/>
      <x:c r="E54" s="15" t="str"/>
      <x:c r="F54" s="15" t="str"/>
      <x:c r="G54" s="15" t="str"/>
      <x:c r="H54" s="15" t="str"/>
      <x:c r="I54" s="15" t="str"/>
      <x:c r="J54" s="15" t="str"/>
      <x:c r="K54" s="15" t="str"/>
      <x:c r="L54" s="15" t="str"/>
      <x:c r="M54" s="15" t="str"/>
      <x:c r="N54" s="15" t="str"/>
      <x:c r="O54" s="15" t="str"/>
      <x:c r="P54" s="15" t="str"/>
      <x:c r="Q54" s="15" t="str"/>
    </x:row>
    <x:row r="55">
      <x:c r="A55" s="15" t="str"/>
      <x:c r="B55" s="15" t="str"/>
      <x:c r="C55" s="15" t="str"/>
      <x:c r="D55" s="15" t="str"/>
      <x:c r="E55" s="15" t="str"/>
      <x:c r="F55" s="15" t="str"/>
      <x:c r="G55" s="15" t="str"/>
      <x:c r="H55" s="15" t="str"/>
      <x:c r="I55" s="15" t="str"/>
      <x:c r="J55" s="15" t="str"/>
      <x:c r="K55" s="15" t="str"/>
      <x:c r="L55" s="15" t="str"/>
      <x:c r="M55" s="15" t="str"/>
      <x:c r="N55" s="15" t="str"/>
      <x:c r="O55" s="15" t="str"/>
      <x:c r="P55" s="15" t="str"/>
      <x:c r="Q55" s="15" t="str"/>
    </x:row>
    <x:row r="56">
      <x:c r="A56" s="15" t="str"/>
      <x:c r="B56" s="15" t="str"/>
      <x:c r="C56" s="15" t="str"/>
      <x:c r="D56" s="15" t="str"/>
      <x:c r="E56" s="15" t="str"/>
      <x:c r="F56" s="15" t="str"/>
      <x:c r="G56" s="15" t="str"/>
      <x:c r="H56" s="15" t="str"/>
      <x:c r="I56" s="15" t="str"/>
      <x:c r="J56" s="15" t="str"/>
      <x:c r="K56" s="15" t="str"/>
      <x:c r="L56" s="15" t="str"/>
      <x:c r="M56" s="15" t="str"/>
      <x:c r="N56" s="15" t="str"/>
      <x:c r="O56" s="15" t="str"/>
      <x:c r="P56" s="15" t="str"/>
      <x:c r="Q56" s="15" t="str"/>
    </x:row>
    <x:row r="57">
      <x:c r="A57" s="15" t="str"/>
      <x:c r="B57" s="15" t="str"/>
      <x:c r="C57" s="15" t="str"/>
      <x:c r="D57" s="15" t="str"/>
      <x:c r="E57" s="15" t="str"/>
      <x:c r="F57" s="15" t="str"/>
      <x:c r="G57" s="15" t="str"/>
      <x:c r="H57" s="15" t="str"/>
      <x:c r="I57" s="15" t="str"/>
      <x:c r="J57" s="15" t="str"/>
      <x:c r="K57" s="15" t="str"/>
      <x:c r="L57" s="15" t="str"/>
      <x:c r="M57" s="15" t="str"/>
      <x:c r="N57" s="15" t="str"/>
      <x:c r="O57" s="15" t="str"/>
      <x:c r="P57" s="15" t="str"/>
      <x:c r="Q57" s="15" t="str"/>
    </x:row>
    <x:row r="58">
      <x:c r="A58" s="15" t="str"/>
      <x:c r="B58" s="15" t="str"/>
      <x:c r="C58" s="15" t="str"/>
      <x:c r="D58" s="15" t="str"/>
      <x:c r="E58" s="15" t="str"/>
      <x:c r="F58" s="15" t="str"/>
      <x:c r="G58" s="15" t="str"/>
      <x:c r="H58" s="15" t="str"/>
      <x:c r="I58" s="15" t="str"/>
      <x:c r="J58" s="15" t="str"/>
      <x:c r="K58" s="15" t="str"/>
      <x:c r="L58" s="15" t="str"/>
      <x:c r="M58" s="15" t="str"/>
      <x:c r="N58" s="15" t="str"/>
      <x:c r="O58" s="15" t="str"/>
      <x:c r="P58" s="15" t="str"/>
      <x:c r="Q58" s="15" t="str"/>
    </x:row>
    <x:row r="59">
      <x:c r="A59" s="15" t="str"/>
      <x:c r="B59" s="15" t="str"/>
      <x:c r="C59" s="15" t="str"/>
      <x:c r="D59" s="15" t="str"/>
      <x:c r="E59" s="15" t="str"/>
      <x:c r="F59" s="15" t="str"/>
      <x:c r="G59" s="15" t="str"/>
      <x:c r="H59" s="15" t="str"/>
      <x:c r="I59" s="15" t="str"/>
      <x:c r="J59" s="15" t="str"/>
      <x:c r="K59" s="15" t="str"/>
      <x:c r="L59" s="15" t="str"/>
      <x:c r="M59" s="15" t="str"/>
      <x:c r="N59" s="15" t="str"/>
      <x:c r="O59" s="15" t="str"/>
      <x:c r="P59" s="15" t="str"/>
      <x:c r="Q59" s="15" t="str"/>
    </x:row>
    <x:row r="60">
      <x:c r="A60" s="15" t="str"/>
      <x:c r="B60" s="15" t="str"/>
      <x:c r="C60" s="15" t="str"/>
      <x:c r="D60" s="15" t="str"/>
      <x:c r="E60" s="15" t="str"/>
      <x:c r="F60" s="15" t="str"/>
      <x:c r="G60" s="15" t="str"/>
      <x:c r="H60" s="15" t="str"/>
      <x:c r="I60" s="15" t="str"/>
      <x:c r="J60" s="15" t="str"/>
      <x:c r="K60" s="15" t="str"/>
      <x:c r="L60" s="15" t="str"/>
      <x:c r="M60" s="15" t="str"/>
      <x:c r="N60" s="15" t="str"/>
      <x:c r="O60" s="15" t="str"/>
      <x:c r="P60" s="15" t="str"/>
      <x:c r="Q60" s="15" t="str"/>
    </x:row>
    <x:row r="61">
      <x:c r="A61" s="15" t="str"/>
      <x:c r="B61" s="15" t="str"/>
      <x:c r="C61" s="15" t="str"/>
      <x:c r="D61" s="15" t="str"/>
      <x:c r="E61" s="15" t="str"/>
      <x:c r="F61" s="15" t="str"/>
      <x:c r="G61" s="15" t="str"/>
      <x:c r="H61" s="15" t="str"/>
      <x:c r="I61" s="15" t="str"/>
      <x:c r="J61" s="15" t="str"/>
      <x:c r="K61" s="15" t="str"/>
      <x:c r="L61" s="15" t="str"/>
      <x:c r="M61" s="15" t="str"/>
      <x:c r="N61" s="15" t="str"/>
      <x:c r="O61" s="15" t="str"/>
      <x:c r="P61" s="15" t="str"/>
      <x:c r="Q61" s="15" t="str"/>
    </x:row>
    <x:row r="62">
      <x:c r="A62" s="15" t="str"/>
      <x:c r="B62" s="15" t="str"/>
      <x:c r="C62" s="15" t="str"/>
      <x:c r="D62" s="15" t="str"/>
      <x:c r="E62" s="15" t="str"/>
      <x:c r="F62" s="15" t="str"/>
      <x:c r="G62" s="15" t="str"/>
      <x:c r="H62" s="15" t="str"/>
      <x:c r="I62" s="15" t="str"/>
      <x:c r="J62" s="15" t="str"/>
      <x:c r="K62" s="15" t="str"/>
      <x:c r="L62" s="15" t="str"/>
      <x:c r="M62" s="15" t="str"/>
      <x:c r="N62" s="15" t="str"/>
      <x:c r="O62" s="15" t="str"/>
      <x:c r="P62" s="15" t="str"/>
      <x:c r="Q62" s="15" t="str"/>
    </x:row>
    <x:row r="63">
      <x:c r="A63" s="15" t="str"/>
      <x:c r="B63" s="15" t="str"/>
      <x:c r="C63" s="15" t="str"/>
      <x:c r="D63" s="15" t="str"/>
      <x:c r="E63" s="15" t="str"/>
      <x:c r="F63" s="15" t="str"/>
      <x:c r="G63" s="15" t="str"/>
      <x:c r="H63" s="15" t="str"/>
      <x:c r="I63" s="15" t="str"/>
      <x:c r="J63" s="15" t="str"/>
      <x:c r="K63" s="15" t="str"/>
      <x:c r="L63" s="15" t="str"/>
      <x:c r="M63" s="15" t="str"/>
      <x:c r="N63" s="15" t="str"/>
      <x:c r="O63" s="15" t="str"/>
      <x:c r="P63" s="15" t="str"/>
      <x:c r="Q63" s="15" t="str"/>
    </x:row>
    <x:row r="64">
      <x:c r="A64" s="15" t="str"/>
      <x:c r="B64" s="15" t="str"/>
      <x:c r="C64" s="15" t="str"/>
      <x:c r="D64" s="15" t="str"/>
      <x:c r="E64" s="15" t="str"/>
      <x:c r="F64" s="15" t="str"/>
      <x:c r="G64" s="15" t="str"/>
      <x:c r="H64" s="15" t="str"/>
      <x:c r="I64" s="15" t="str"/>
      <x:c r="J64" s="15" t="str"/>
      <x:c r="K64" s="15" t="str"/>
      <x:c r="L64" s="15" t="str"/>
      <x:c r="M64" s="15" t="str"/>
      <x:c r="N64" s="15" t="str"/>
      <x:c r="O64" s="15" t="str"/>
      <x:c r="P64" s="15" t="str"/>
      <x:c r="Q64" s="15" t="str"/>
    </x:row>
    <x:row r="65">
      <x:c r="A65" s="15" t="str"/>
      <x:c r="B65" s="15" t="str"/>
      <x:c r="C65" s="15" t="str"/>
      <x:c r="D65" s="15" t="str"/>
      <x:c r="E65" s="15" t="str"/>
      <x:c r="F65" s="15" t="str"/>
      <x:c r="G65" s="15" t="str"/>
      <x:c r="H65" s="15" t="str"/>
      <x:c r="I65" s="15" t="str"/>
      <x:c r="J65" s="15" t="str"/>
      <x:c r="K65" s="15" t="str"/>
      <x:c r="L65" s="15" t="str"/>
      <x:c r="M65" s="15" t="str"/>
      <x:c r="N65" s="15" t="str"/>
      <x:c r="O65" s="15" t="str"/>
      <x:c r="P65" s="15" t="str"/>
      <x:c r="Q65" s="15" t="str"/>
    </x:row>
    <x:row r="66">
      <x:c r="A66" s="15" t="str"/>
      <x:c r="B66" s="15" t="str"/>
      <x:c r="C66" s="15" t="str"/>
      <x:c r="D66" s="15" t="str"/>
      <x:c r="E66" s="15" t="str"/>
      <x:c r="F66" s="15" t="str"/>
      <x:c r="G66" s="15" t="str"/>
      <x:c r="H66" s="15" t="str"/>
      <x:c r="I66" s="15" t="str"/>
      <x:c r="J66" s="15" t="str"/>
      <x:c r="K66" s="15" t="str"/>
      <x:c r="L66" s="15" t="str"/>
      <x:c r="M66" s="15" t="str"/>
      <x:c r="N66" s="15" t="str"/>
      <x:c r="O66" s="15" t="str"/>
      <x:c r="P66" s="15" t="str"/>
      <x:c r="Q66" s="15" t="str"/>
    </x:row>
    <x:row r="67">
      <x:c r="A67" s="15" t="str"/>
      <x:c r="B67" s="15" t="str"/>
      <x:c r="C67" s="15" t="str"/>
      <x:c r="D67" s="15" t="str"/>
      <x:c r="E67" s="15" t="str"/>
      <x:c r="F67" s="15" t="str"/>
      <x:c r="G67" s="15" t="str"/>
      <x:c r="H67" s="15" t="str"/>
      <x:c r="I67" s="15" t="str"/>
      <x:c r="J67" s="15" t="str"/>
      <x:c r="K67" s="15" t="str"/>
      <x:c r="L67" s="15" t="str"/>
      <x:c r="M67" s="15" t="str"/>
      <x:c r="N67" s="15" t="str"/>
      <x:c r="O67" s="15" t="str"/>
      <x:c r="P67" s="15" t="str"/>
      <x:c r="Q67" s="15" t="str"/>
    </x:row>
    <x:row r="68">
      <x:c r="A68" s="15" t="str"/>
      <x:c r="B68" s="15" t="str"/>
      <x:c r="C68" s="15" t="str"/>
      <x:c r="D68" s="15" t="str"/>
      <x:c r="E68" s="15" t="str"/>
      <x:c r="F68" s="15" t="str"/>
      <x:c r="G68" s="15" t="str"/>
      <x:c r="H68" s="15" t="str"/>
      <x:c r="I68" s="15" t="str"/>
      <x:c r="J68" s="15" t="str"/>
      <x:c r="K68" s="15" t="str"/>
      <x:c r="L68" s="15" t="str"/>
      <x:c r="M68" s="15" t="str"/>
      <x:c r="N68" s="15" t="str"/>
      <x:c r="O68" s="15" t="str"/>
      <x:c r="P68" s="15" t="str"/>
      <x:c r="Q68" s="15" t="str"/>
    </x:row>
    <x:row r="69">
      <x:c r="A69" s="15" t="str"/>
      <x:c r="B69" s="15" t="str"/>
      <x:c r="C69" s="15" t="str"/>
      <x:c r="D69" s="15" t="str"/>
      <x:c r="E69" s="15" t="str"/>
      <x:c r="F69" s="15" t="str"/>
      <x:c r="G69" s="15" t="str"/>
      <x:c r="H69" s="15" t="str"/>
      <x:c r="I69" s="15" t="str"/>
      <x:c r="J69" s="15" t="str"/>
      <x:c r="K69" s="15" t="str"/>
      <x:c r="L69" s="15" t="str"/>
      <x:c r="M69" s="15" t="str"/>
      <x:c r="N69" s="15" t="str"/>
      <x:c r="O69" s="15" t="str"/>
      <x:c r="P69" s="15" t="str"/>
      <x:c r="Q69" s="15" t="str"/>
    </x:row>
    <x:row r="70">
      <x:c r="A70" s="15" t="str"/>
      <x:c r="B70" s="15" t="str"/>
      <x:c r="C70" s="15" t="str"/>
      <x:c r="D70" s="15" t="str"/>
      <x:c r="E70" s="15" t="str"/>
      <x:c r="F70" s="15" t="str"/>
      <x:c r="G70" s="15" t="str"/>
      <x:c r="H70" s="15" t="str"/>
      <x:c r="I70" s="15" t="str"/>
      <x:c r="J70" s="15" t="str"/>
      <x:c r="K70" s="15" t="str"/>
      <x:c r="L70" s="15" t="str"/>
      <x:c r="M70" s="15" t="str"/>
      <x:c r="N70" s="15" t="str"/>
      <x:c r="O70" s="15" t="str"/>
      <x:c r="P70" s="15" t="str"/>
      <x:c r="Q70" s="15" t="str"/>
    </x:row>
    <x:row r="71">
      <x:c r="A71" s="15" t="str"/>
      <x:c r="B71" s="15" t="str"/>
      <x:c r="C71" s="15" t="str"/>
      <x:c r="D71" s="15" t="str"/>
      <x:c r="E71" s="15" t="str"/>
      <x:c r="F71" s="15" t="str"/>
      <x:c r="G71" s="15" t="str"/>
      <x:c r="H71" s="15" t="str"/>
      <x:c r="I71" s="15" t="str"/>
      <x:c r="J71" s="15" t="str"/>
      <x:c r="K71" s="15" t="str"/>
      <x:c r="L71" s="15" t="str"/>
      <x:c r="M71" s="15" t="str"/>
      <x:c r="N71" s="15" t="str"/>
      <x:c r="O71" s="15" t="str"/>
      <x:c r="P71" s="15" t="str"/>
      <x:c r="Q71" s="15" t="str"/>
    </x:row>
    <x:row r="72">
      <x:c r="A72" s="15" t="str"/>
      <x:c r="B72" s="15" t="str"/>
      <x:c r="C72" s="15" t="str"/>
      <x:c r="D72" s="15" t="str"/>
      <x:c r="E72" s="15" t="str"/>
      <x:c r="F72" s="15" t="str"/>
      <x:c r="G72" s="15" t="str"/>
      <x:c r="H72" s="15" t="str"/>
      <x:c r="I72" s="15" t="str"/>
      <x:c r="J72" s="15" t="str"/>
      <x:c r="K72" s="15" t="str"/>
      <x:c r="L72" s="15" t="str"/>
      <x:c r="M72" s="15" t="str"/>
      <x:c r="N72" s="15" t="str"/>
      <x:c r="O72" s="15" t="str"/>
      <x:c r="P72" s="15" t="str"/>
      <x:c r="Q72" s="15" t="str"/>
    </x:row>
    <x:row r="73">
      <x:c r="A73" s="15" t="str"/>
      <x:c r="B73" s="15" t="str"/>
      <x:c r="C73" s="15" t="str"/>
      <x:c r="D73" s="15" t="str"/>
      <x:c r="E73" s="15" t="str"/>
      <x:c r="F73" s="15" t="str"/>
      <x:c r="G73" s="15" t="str"/>
      <x:c r="H73" s="15" t="str"/>
      <x:c r="I73" s="15" t="str"/>
      <x:c r="J73" s="15" t="str"/>
      <x:c r="K73" s="15" t="str"/>
      <x:c r="L73" s="15" t="str"/>
      <x:c r="M73" s="15" t="str"/>
      <x:c r="N73" s="15" t="str"/>
      <x:c r="O73" s="15" t="str"/>
      <x:c r="P73" s="15" t="str"/>
      <x:c r="Q73" s="15" t="str"/>
    </x:row>
    <x:row r="74">
      <x:c r="A74" s="15" t="str"/>
      <x:c r="B74" s="15" t="str"/>
      <x:c r="C74" s="15" t="str"/>
      <x:c r="D74" s="15" t="str"/>
      <x:c r="E74" s="15" t="str"/>
      <x:c r="F74" s="15" t="str"/>
      <x:c r="G74" s="15" t="str"/>
      <x:c r="H74" s="15" t="str"/>
      <x:c r="I74" s="15" t="str"/>
      <x:c r="J74" s="15" t="str"/>
      <x:c r="K74" s="15" t="str"/>
      <x:c r="L74" s="15" t="str"/>
      <x:c r="M74" s="15" t="str"/>
      <x:c r="N74" s="15" t="str"/>
      <x:c r="O74" s="15" t="str"/>
      <x:c r="P74" s="15" t="str"/>
      <x:c r="Q74" s="15" t="str"/>
    </x:row>
    <x:row r="75">
      <x:c r="A75" s="15" t="str"/>
      <x:c r="B75" s="15" t="str"/>
      <x:c r="C75" s="15" t="str"/>
      <x:c r="D75" s="15" t="str"/>
      <x:c r="E75" s="15" t="str"/>
      <x:c r="F75" s="15" t="str"/>
      <x:c r="G75" s="15" t="str"/>
      <x:c r="H75" s="15" t="str"/>
      <x:c r="I75" s="15" t="str"/>
      <x:c r="J75" s="15" t="str"/>
      <x:c r="K75" s="15" t="str"/>
      <x:c r="L75" s="15" t="str"/>
      <x:c r="M75" s="15" t="str"/>
      <x:c r="N75" s="15" t="str"/>
      <x:c r="O75" s="15" t="str"/>
      <x:c r="P75" s="15" t="str"/>
      <x:c r="Q75" s="15" t="str"/>
    </x:row>
    <x:row r="76">
      <x:c r="A76" s="15" t="str"/>
      <x:c r="B76" s="15" t="str"/>
      <x:c r="C76" s="15" t="str"/>
      <x:c r="D76" s="15" t="str"/>
      <x:c r="E76" s="15" t="str"/>
      <x:c r="F76" s="15" t="str"/>
      <x:c r="G76" s="15" t="str"/>
      <x:c r="H76" s="15" t="str"/>
      <x:c r="I76" s="15" t="str"/>
      <x:c r="J76" s="15" t="str"/>
      <x:c r="K76" s="15" t="str"/>
      <x:c r="L76" s="15" t="str"/>
      <x:c r="M76" s="15" t="str"/>
      <x:c r="N76" s="15" t="str"/>
      <x:c r="O76" s="15" t="str"/>
      <x:c r="P76" s="15" t="str"/>
      <x:c r="Q76" s="15" t="str"/>
    </x:row>
    <x:row r="77">
      <x:c r="A77" s="15" t="str"/>
      <x:c r="B77" s="15" t="str"/>
      <x:c r="C77" s="15" t="str"/>
      <x:c r="D77" s="15" t="str"/>
      <x:c r="E77" s="15" t="str"/>
      <x:c r="F77" s="15" t="str"/>
      <x:c r="G77" s="15" t="str"/>
      <x:c r="H77" s="15" t="str"/>
      <x:c r="I77" s="15" t="str"/>
      <x:c r="J77" s="15" t="str"/>
      <x:c r="K77" s="15" t="str"/>
      <x:c r="L77" s="15" t="str"/>
      <x:c r="M77" s="15" t="str"/>
      <x:c r="N77" s="15" t="str"/>
      <x:c r="O77" s="15" t="str"/>
      <x:c r="P77" s="15" t="str"/>
      <x:c r="Q77" s="15" t="str"/>
    </x:row>
    <x:row r="78">
      <x:c r="A78" s="15" t="str"/>
      <x:c r="B78" s="15" t="str"/>
      <x:c r="C78" s="15" t="str"/>
      <x:c r="D78" s="15" t="str"/>
      <x:c r="E78" s="15" t="str"/>
      <x:c r="F78" s="15" t="str"/>
      <x:c r="G78" s="15" t="str"/>
      <x:c r="H78" s="15" t="str"/>
      <x:c r="I78" s="15" t="str"/>
      <x:c r="J78" s="15" t="str"/>
      <x:c r="K78" s="15" t="str"/>
      <x:c r="L78" s="15" t="str"/>
      <x:c r="M78" s="15" t="str"/>
      <x:c r="N78" s="15" t="str"/>
      <x:c r="O78" s="15" t="str"/>
      <x:c r="P78" s="15" t="str"/>
      <x:c r="Q78" s="15" t="str"/>
    </x:row>
    <x:row r="79">
      <x:c r="A79" s="15" t="str"/>
      <x:c r="B79" s="15" t="str"/>
      <x:c r="C79" s="15" t="str"/>
      <x:c r="D79" s="15" t="str"/>
      <x:c r="E79" s="15" t="str"/>
      <x:c r="F79" s="15" t="str"/>
      <x:c r="G79" s="15" t="str"/>
      <x:c r="H79" s="15" t="str"/>
      <x:c r="I79" s="15" t="str"/>
      <x:c r="J79" s="15" t="str"/>
      <x:c r="K79" s="15" t="str"/>
      <x:c r="L79" s="15" t="str"/>
      <x:c r="M79" s="15" t="str"/>
      <x:c r="N79" s="15" t="str"/>
      <x:c r="O79" s="15" t="str"/>
      <x:c r="P79" s="15" t="str"/>
      <x:c r="Q79" s="15" t="str"/>
    </x:row>
    <x:row r="80">
      <x:c r="A80" s="15" t="str"/>
      <x:c r="B80" s="15" t="str"/>
      <x:c r="C80" s="15" t="str"/>
      <x:c r="D80" s="15" t="str"/>
      <x:c r="E80" s="15" t="str"/>
      <x:c r="F80" s="15" t="str"/>
      <x:c r="G80" s="15" t="str"/>
      <x:c r="H80" s="15" t="str"/>
      <x:c r="I80" s="15" t="str"/>
      <x:c r="J80" s="15" t="str"/>
      <x:c r="K80" s="15" t="str"/>
      <x:c r="L80" s="15" t="str"/>
      <x:c r="M80" s="15" t="str"/>
      <x:c r="N80" s="15" t="str"/>
      <x:c r="O80" s="15" t="str"/>
      <x:c r="P80" s="15" t="str"/>
      <x:c r="Q80" s="15" t="str"/>
    </x:row>
    <x:row r="81">
      <x:c r="A81" s="15" t="str"/>
      <x:c r="B81" s="15" t="str"/>
      <x:c r="C81" s="15" t="str"/>
      <x:c r="D81" s="15" t="str"/>
      <x:c r="E81" s="15" t="str"/>
      <x:c r="F81" s="15" t="str"/>
      <x:c r="G81" s="15" t="str"/>
      <x:c r="H81" s="15" t="str"/>
      <x:c r="I81" s="15" t="str"/>
      <x:c r="J81" s="15" t="str"/>
      <x:c r="K81" s="15" t="str"/>
      <x:c r="L81" s="15" t="str"/>
      <x:c r="M81" s="15" t="str"/>
      <x:c r="N81" s="15" t="str"/>
      <x:c r="O81" s="15" t="str"/>
      <x:c r="P81" s="15" t="str"/>
      <x:c r="Q81" s="15" t="str"/>
    </x:row>
    <x:row r="82">
      <x:c r="A82" s="15" t="str"/>
      <x:c r="B82" s="15" t="str"/>
      <x:c r="C82" s="15" t="str"/>
      <x:c r="D82" s="15" t="str"/>
      <x:c r="E82" s="15" t="str"/>
      <x:c r="F82" s="15" t="str"/>
      <x:c r="G82" s="15" t="str"/>
      <x:c r="H82" s="15" t="str"/>
      <x:c r="I82" s="15" t="str"/>
      <x:c r="J82" s="15" t="str"/>
      <x:c r="K82" s="15" t="str"/>
      <x:c r="L82" s="15" t="str"/>
      <x:c r="M82" s="15" t="str"/>
      <x:c r="N82" s="15" t="str"/>
      <x:c r="O82" s="15" t="str"/>
      <x:c r="P82" s="15" t="str"/>
      <x:c r="Q82" s="15" t="str"/>
    </x:row>
    <x:row r="83">
      <x:c r="A83" s="15" t="str"/>
      <x:c r="B83" s="15" t="str"/>
      <x:c r="C83" s="15" t="str"/>
      <x:c r="D83" s="15" t="str"/>
      <x:c r="E83" s="15" t="str"/>
      <x:c r="F83" s="15" t="str"/>
      <x:c r="G83" s="15" t="str"/>
      <x:c r="H83" s="15" t="str"/>
      <x:c r="I83" s="15" t="str"/>
      <x:c r="J83" s="15" t="str"/>
      <x:c r="K83" s="15" t="str"/>
      <x:c r="L83" s="15" t="str"/>
      <x:c r="M83" s="15" t="str"/>
      <x:c r="N83" s="15" t="str"/>
      <x:c r="O83" s="15" t="str"/>
      <x:c r="P83" s="15" t="str"/>
      <x:c r="Q83" s="15" t="str"/>
    </x:row>
    <x:row r="84">
      <x:c r="A84" s="15" t="str"/>
      <x:c r="B84" s="15" t="str"/>
      <x:c r="C84" s="15" t="str"/>
      <x:c r="D84" s="15" t="str"/>
      <x:c r="E84" s="15" t="str"/>
      <x:c r="F84" s="15" t="str"/>
      <x:c r="G84" s="15" t="str"/>
      <x:c r="H84" s="15" t="str"/>
      <x:c r="I84" s="15" t="str"/>
      <x:c r="J84" s="15" t="str"/>
      <x:c r="K84" s="15" t="str"/>
      <x:c r="L84" s="15" t="str"/>
      <x:c r="M84" s="15" t="str"/>
      <x:c r="N84" s="15" t="str"/>
      <x:c r="O84" s="15" t="str"/>
      <x:c r="P84" s="15" t="str"/>
      <x:c r="Q84" s="15" t="str"/>
    </x:row>
    <x:row r="85">
      <x:c r="A85" s="15" t="str"/>
      <x:c r="B85" s="15" t="str"/>
      <x:c r="C85" s="15" t="str"/>
      <x:c r="D85" s="15" t="str"/>
      <x:c r="E85" s="15" t="str"/>
      <x:c r="F85" s="15" t="str"/>
      <x:c r="G85" s="15" t="str"/>
      <x:c r="H85" s="15" t="str"/>
      <x:c r="I85" s="15" t="str"/>
      <x:c r="J85" s="15" t="str"/>
      <x:c r="K85" s="15" t="str"/>
      <x:c r="L85" s="15" t="str"/>
      <x:c r="M85" s="15" t="str"/>
      <x:c r="N85" s="15" t="str"/>
      <x:c r="O85" s="15" t="str"/>
      <x:c r="P85" s="15" t="str"/>
      <x:c r="Q85" s="15" t="str"/>
    </x:row>
    <x:row r="86">
      <x:c r="A86" s="15" t="str"/>
      <x:c r="B86" s="15" t="str"/>
      <x:c r="C86" s="15" t="str"/>
      <x:c r="D86" s="15" t="str"/>
      <x:c r="E86" s="15" t="str"/>
      <x:c r="F86" s="15" t="str"/>
      <x:c r="G86" s="15" t="str"/>
      <x:c r="H86" s="15" t="str"/>
      <x:c r="I86" s="15" t="str"/>
      <x:c r="J86" s="15" t="str"/>
      <x:c r="K86" s="15" t="str"/>
      <x:c r="L86" s="15" t="str"/>
      <x:c r="M86" s="15" t="str"/>
      <x:c r="N86" s="15" t="str"/>
      <x:c r="O86" s="15" t="str"/>
      <x:c r="P86" s="15" t="str"/>
      <x:c r="Q86" s="15" t="str"/>
    </x:row>
    <x:row r="87">
      <x:c r="A87" s="15" t="str"/>
      <x:c r="B87" s="15" t="str"/>
      <x:c r="C87" s="15" t="str"/>
      <x:c r="D87" s="15" t="str"/>
      <x:c r="E87" s="15" t="str"/>
      <x:c r="F87" s="15" t="str"/>
      <x:c r="G87" s="15" t="str"/>
      <x:c r="H87" s="15" t="str"/>
      <x:c r="I87" s="15" t="str"/>
      <x:c r="J87" s="15" t="str"/>
      <x:c r="K87" s="15" t="str"/>
      <x:c r="L87" s="15" t="str"/>
      <x:c r="M87" s="15" t="str"/>
      <x:c r="N87" s="15" t="str"/>
      <x:c r="O87" s="15" t="str"/>
      <x:c r="P87" s="15" t="str"/>
      <x:c r="Q87" s="15" t="str"/>
    </x:row>
    <x:row r="88">
      <x:c r="A88" s="15" t="str"/>
      <x:c r="B88" s="15" t="str"/>
      <x:c r="C88" s="15" t="str"/>
      <x:c r="D88" s="15" t="str"/>
      <x:c r="E88" s="15" t="str"/>
      <x:c r="F88" s="15" t="str"/>
      <x:c r="G88" s="15" t="str"/>
      <x:c r="H88" s="15" t="str"/>
      <x:c r="I88" s="15" t="str"/>
      <x:c r="J88" s="15" t="str"/>
      <x:c r="K88" s="15" t="str"/>
      <x:c r="L88" s="15" t="str"/>
      <x:c r="M88" s="15" t="str"/>
      <x:c r="N88" s="15" t="str"/>
      <x:c r="O88" s="15" t="str"/>
      <x:c r="P88" s="15" t="str"/>
      <x:c r="Q88" s="15" t="str"/>
    </x:row>
    <x:row r="89">
      <x:c r="A89" s="15" t="str"/>
      <x:c r="B89" s="15" t="str"/>
      <x:c r="C89" s="15" t="str"/>
      <x:c r="D89" s="15" t="str"/>
      <x:c r="E89" s="15" t="str"/>
      <x:c r="F89" s="15" t="str"/>
      <x:c r="G89" s="15" t="str"/>
      <x:c r="H89" s="15" t="str"/>
      <x:c r="I89" s="15" t="str"/>
      <x:c r="J89" s="15" t="str"/>
      <x:c r="K89" s="15" t="str"/>
      <x:c r="L89" s="15" t="str"/>
      <x:c r="M89" s="15" t="str"/>
      <x:c r="N89" s="15" t="str"/>
      <x:c r="O89" s="15" t="str"/>
      <x:c r="P89" s="15" t="str"/>
      <x:c r="Q89" s="15" t="str"/>
    </x:row>
    <x:row r="90">
      <x:c r="A90" s="15" t="str"/>
      <x:c r="B90" s="15" t="str"/>
      <x:c r="C90" s="15" t="str"/>
      <x:c r="D90" s="15" t="str"/>
      <x:c r="E90" s="15" t="str"/>
      <x:c r="F90" s="15" t="str"/>
      <x:c r="G90" s="15" t="str"/>
      <x:c r="H90" s="15" t="str"/>
      <x:c r="I90" s="15" t="str"/>
      <x:c r="J90" s="15" t="str"/>
      <x:c r="K90" s="15" t="str"/>
      <x:c r="L90" s="15" t="str"/>
      <x:c r="M90" s="15" t="str"/>
      <x:c r="N90" s="15" t="str"/>
      <x:c r="O90" s="15" t="str"/>
      <x:c r="P90" s="15" t="str"/>
      <x:c r="Q90" s="15" t="str"/>
    </x:row>
    <x:row r="91">
      <x:c r="A91" s="15" t="str"/>
      <x:c r="B91" s="15" t="str"/>
      <x:c r="C91" s="15" t="str"/>
      <x:c r="D91" s="15" t="str"/>
      <x:c r="E91" s="15" t="str"/>
      <x:c r="F91" s="15" t="str"/>
      <x:c r="G91" s="15" t="str"/>
      <x:c r="H91" s="15" t="str"/>
      <x:c r="I91" s="15" t="str"/>
      <x:c r="J91" s="15" t="str"/>
      <x:c r="K91" s="15" t="str"/>
      <x:c r="L91" s="15" t="str"/>
      <x:c r="M91" s="15" t="str"/>
      <x:c r="N91" s="15" t="str"/>
      <x:c r="O91" s="15" t="str"/>
      <x:c r="P91" s="15" t="str"/>
      <x:c r="Q91" s="15" t="str"/>
    </x:row>
    <x:row r="92">
      <x:c r="A92" s="15" t="str"/>
      <x:c r="B92" s="15" t="str"/>
      <x:c r="C92" s="15" t="str"/>
      <x:c r="D92" s="15" t="str"/>
      <x:c r="E92" s="15" t="str"/>
      <x:c r="F92" s="15" t="str"/>
      <x:c r="G92" s="15" t="str"/>
      <x:c r="H92" s="15" t="str"/>
      <x:c r="I92" s="15" t="str"/>
      <x:c r="J92" s="15" t="str"/>
      <x:c r="K92" s="15" t="str"/>
      <x:c r="L92" s="15" t="str"/>
      <x:c r="M92" s="15" t="str"/>
      <x:c r="N92" s="15" t="str"/>
      <x:c r="O92" s="15" t="str"/>
      <x:c r="P92" s="15" t="str"/>
      <x:c r="Q92" s="15" t="str"/>
    </x:row>
    <x:row r="93">
      <x:c r="A93" s="15" t="str"/>
      <x:c r="B93" s="15" t="str"/>
      <x:c r="C93" s="15" t="str"/>
      <x:c r="D93" s="15" t="str"/>
      <x:c r="E93" s="15" t="str"/>
      <x:c r="F93" s="15" t="str"/>
      <x:c r="G93" s="15" t="str"/>
      <x:c r="H93" s="15" t="str"/>
      <x:c r="I93" s="15" t="str"/>
      <x:c r="J93" s="15" t="str"/>
      <x:c r="K93" s="15" t="str"/>
      <x:c r="L93" s="15" t="str"/>
      <x:c r="M93" s="15" t="str"/>
      <x:c r="N93" s="15" t="str"/>
      <x:c r="O93" s="15" t="str"/>
      <x:c r="P93" s="15" t="str"/>
      <x:c r="Q93" s="15" t="str"/>
    </x:row>
    <x:row r="94">
      <x:c r="A94" s="15" t="str"/>
      <x:c r="B94" s="15" t="str"/>
      <x:c r="C94" s="15" t="str"/>
      <x:c r="D94" s="15" t="str"/>
      <x:c r="E94" s="15" t="str"/>
      <x:c r="F94" s="15" t="str"/>
      <x:c r="G94" s="15" t="str"/>
      <x:c r="H94" s="15" t="str"/>
      <x:c r="I94" s="15" t="str"/>
      <x:c r="J94" s="15" t="str"/>
      <x:c r="K94" s="15" t="str"/>
      <x:c r="L94" s="15" t="str"/>
      <x:c r="M94" s="15" t="str"/>
      <x:c r="N94" s="15" t="str"/>
      <x:c r="O94" s="15" t="str"/>
      <x:c r="P94" s="15" t="str"/>
      <x:c r="Q94" s="15" t="str"/>
    </x:row>
    <x:row r="95">
      <x:c r="A95" s="15" t="str"/>
      <x:c r="B95" s="15" t="str"/>
      <x:c r="C95" s="15" t="str"/>
      <x:c r="D95" s="15" t="str"/>
      <x:c r="E95" s="15" t="str"/>
      <x:c r="F95" s="15" t="str"/>
      <x:c r="G95" s="15" t="str"/>
      <x:c r="H95" s="15" t="str"/>
      <x:c r="I95" s="15" t="str"/>
      <x:c r="J95" s="15" t="str"/>
      <x:c r="K95" s="15" t="str"/>
      <x:c r="L95" s="15" t="str"/>
      <x:c r="M95" s="15" t="str"/>
      <x:c r="N95" s="15" t="str"/>
      <x:c r="O95" s="15" t="str"/>
      <x:c r="P95" s="15" t="str"/>
      <x:c r="Q95" s="15" t="str"/>
    </x:row>
    <x:row r="96">
      <x:c r="A96" s="15" t="str"/>
      <x:c r="B96" s="15" t="str"/>
      <x:c r="C96" s="15" t="str"/>
      <x:c r="D96" s="15" t="str"/>
      <x:c r="E96" s="15" t="str"/>
      <x:c r="F96" s="15" t="str"/>
      <x:c r="G96" s="15" t="str"/>
      <x:c r="H96" s="15" t="str"/>
      <x:c r="I96" s="15" t="str"/>
      <x:c r="J96" s="15" t="str"/>
      <x:c r="K96" s="15" t="str"/>
      <x:c r="L96" s="15" t="str"/>
      <x:c r="M96" s="15" t="str"/>
      <x:c r="N96" s="15" t="str"/>
      <x:c r="O96" s="15" t="str"/>
      <x:c r="P96" s="15" t="str"/>
      <x:c r="Q96" s="15" t="str"/>
    </x:row>
    <x:row r="97">
      <x:c r="A97" s="15" t="str"/>
      <x:c r="B97" s="15" t="str"/>
      <x:c r="C97" s="15" t="str"/>
      <x:c r="D97" s="15" t="str"/>
      <x:c r="E97" s="15" t="str"/>
      <x:c r="F97" s="15" t="str"/>
      <x:c r="G97" s="15" t="str"/>
      <x:c r="H97" s="15" t="str"/>
      <x:c r="I97" s="15" t="str"/>
      <x:c r="J97" s="15" t="str"/>
      <x:c r="K97" s="15" t="str"/>
      <x:c r="L97" s="15" t="str"/>
      <x:c r="M97" s="15" t="str"/>
      <x:c r="N97" s="15" t="str"/>
      <x:c r="O97" s="15" t="str"/>
      <x:c r="P97" s="15" t="str"/>
      <x:c r="Q97" s="15" t="str"/>
    </x:row>
    <x:row r="98">
      <x:c r="A98" s="15" t="str"/>
      <x:c r="B98" s="15" t="str"/>
      <x:c r="C98" s="15" t="str"/>
      <x:c r="D98" s="15" t="str"/>
      <x:c r="E98" s="15" t="str"/>
      <x:c r="F98" s="15" t="str"/>
      <x:c r="G98" s="15" t="str"/>
      <x:c r="H98" s="15" t="str"/>
      <x:c r="I98" s="15" t="str"/>
      <x:c r="J98" s="15" t="str"/>
      <x:c r="K98" s="15" t="str"/>
      <x:c r="L98" s="15" t="str"/>
      <x:c r="M98" s="15" t="str"/>
      <x:c r="N98" s="15" t="str"/>
      <x:c r="O98" s="15" t="str"/>
      <x:c r="P98" s="15" t="str"/>
      <x:c r="Q98" s="15" t="str"/>
    </x:row>
    <x:row r="99">
      <x:c r="A99" s="15" t="str"/>
      <x:c r="B99" s="15" t="str"/>
      <x:c r="C99" s="15" t="str"/>
      <x:c r="D99" s="15" t="str"/>
      <x:c r="E99" s="15" t="str"/>
      <x:c r="F99" s="15" t="str"/>
      <x:c r="G99" s="15" t="str"/>
      <x:c r="H99" s="15" t="str"/>
      <x:c r="I99" s="15" t="str"/>
      <x:c r="J99" s="15" t="str"/>
      <x:c r="K99" s="15" t="str"/>
      <x:c r="L99" s="15" t="str"/>
      <x:c r="M99" s="15" t="str"/>
      <x:c r="N99" s="15" t="str"/>
      <x:c r="O99" s="15" t="str"/>
      <x:c r="P99" s="15" t="str"/>
      <x:c r="Q99" s="15" t="str"/>
    </x:row>
    <x:row r="100">
      <x:c r="A100" s="15" t="str"/>
      <x:c r="B100" s="15" t="str"/>
      <x:c r="C100" s="15" t="str"/>
      <x:c r="D100" s="15" t="str"/>
      <x:c r="E100" s="15" t="str"/>
      <x:c r="F100" s="15" t="str"/>
      <x:c r="G100" s="15" t="str"/>
      <x:c r="H100" s="15" t="str"/>
      <x:c r="I100" s="15" t="str"/>
      <x:c r="J100" s="15" t="str"/>
      <x:c r="K100" s="15" t="str"/>
      <x:c r="L100" s="15" t="str"/>
      <x:c r="M100" s="15" t="str"/>
      <x:c r="N100" s="15" t="str"/>
      <x:c r="O100" s="15" t="str"/>
      <x:c r="P100" s="15" t="str"/>
      <x:c r="Q100" s="15" t="str"/>
    </x:row>
    <x:row r="101">
      <x:c r="A101" s="15" t="str"/>
      <x:c r="B101" s="15" t="str"/>
      <x:c r="C101" s="15" t="str"/>
      <x:c r="D101" s="15" t="str"/>
      <x:c r="E101" s="15" t="str"/>
      <x:c r="F101" s="15" t="str"/>
      <x:c r="G101" s="15" t="str"/>
      <x:c r="H101" s="15" t="str"/>
      <x:c r="I101" s="15" t="str"/>
      <x:c r="J101" s="15" t="str"/>
      <x:c r="K101" s="15" t="str"/>
      <x:c r="L101" s="15" t="str"/>
      <x:c r="M101" s="15" t="str"/>
      <x:c r="N101" s="15" t="str"/>
      <x:c r="O101" s="15" t="str"/>
      <x:c r="P101" s="15" t="str"/>
      <x:c r="Q101" s="15" t="str"/>
    </x:row>
    <x:row r="102">
      <x:c r="A102" s="15" t="str"/>
      <x:c r="B102" s="15" t="str"/>
      <x:c r="C102" s="15" t="str"/>
      <x:c r="D102" s="15" t="str"/>
      <x:c r="E102" s="15" t="str"/>
      <x:c r="F102" s="15" t="str"/>
      <x:c r="G102" s="15" t="str"/>
      <x:c r="H102" s="15" t="str"/>
      <x:c r="I102" s="15" t="str"/>
      <x:c r="J102" s="15" t="str"/>
      <x:c r="K102" s="15" t="str"/>
      <x:c r="L102" s="15" t="str"/>
      <x:c r="M102" s="15" t="str"/>
      <x:c r="N102" s="15" t="str"/>
      <x:c r="O102" s="15" t="str"/>
      <x:c r="P102" s="15" t="str"/>
      <x:c r="Q102" s="15" t="str"/>
    </x:row>
    <x:row r="103">
      <x:c r="A103" s="15" t="str"/>
      <x:c r="B103" s="15" t="str"/>
      <x:c r="C103" s="15" t="str"/>
      <x:c r="D103" s="15" t="str"/>
      <x:c r="E103" s="15" t="str"/>
      <x:c r="F103" s="15" t="str"/>
      <x:c r="G103" s="15" t="str"/>
      <x:c r="H103" s="15" t="str"/>
      <x:c r="I103" s="15" t="str"/>
      <x:c r="J103" s="15" t="str"/>
      <x:c r="K103" s="15" t="str"/>
      <x:c r="L103" s="15" t="str"/>
      <x:c r="M103" s="15" t="str"/>
      <x:c r="N103" s="15" t="str"/>
      <x:c r="O103" s="15" t="str"/>
      <x:c r="P103" s="15" t="str"/>
      <x:c r="Q103" s="15" t="str"/>
    </x:row>
    <x:row r="104">
      <x:c r="A104" s="15" t="str"/>
      <x:c r="B104" s="15" t="str"/>
      <x:c r="C104" s="15" t="str"/>
      <x:c r="D104" s="15" t="str"/>
      <x:c r="E104" s="15" t="str"/>
      <x:c r="F104" s="15" t="str"/>
      <x:c r="G104" s="15" t="str"/>
      <x:c r="H104" s="15" t="str"/>
      <x:c r="I104" s="15" t="str"/>
      <x:c r="J104" s="15" t="str"/>
      <x:c r="K104" s="15" t="str"/>
      <x:c r="L104" s="15" t="str"/>
      <x:c r="M104" s="15" t="str"/>
      <x:c r="N104" s="15" t="str"/>
      <x:c r="O104" s="15" t="str"/>
      <x:c r="P104" s="15" t="str"/>
      <x:c r="Q104" s="15" t="str"/>
    </x:row>
  </x:sheetData>
  <x:mergeCells>
    <x:mergeCell ref="A1:Q1"/>
    <x:mergeCell ref="A2:Q2"/>
  </x:mergeCells>
  <x:conditionalFormatting sqref="K5:K104">
    <x:cfRule type="containsText" dxfId="52" priority="1" operator="containsText" text="Missing"/>
    <x:cfRule type="containsText" dxfId="53" priority="2" operator="containsText" text="Incomplete"/>
    <x:cfRule type="containsText" dxfId="54" priority="3" operator="containsText" text="Source Data Needed"/>
    <x:cfRule type="containsText" dxfId="55" priority="4" operator="containsText" text="Existing Ticket"/>
  </x:conditionalFormatting>
  <x:conditionalFormatting sqref="J5:J104">
    <x:cfRule type="containsText" dxfId="56" priority="5" operator="containsText" text="Low"/>
    <x:cfRule type="containsText" dxfId="57" priority="6" operator="containsText" text="High"/>
  </x:conditionalFormatting>
  <x:dataValidations count="4">
    <x:dataValidation type="list" sqref="C5:C104">
      <x:formula1>'Assumptions'!$A$27:$A$37</x:formula1>
    </x:dataValidation>
    <x:dataValidation type="list" sqref="E5:E104">
      <x:formula1>'Assumptions'!$AA$27:$AA$34</x:formula1>
    </x:dataValidation>
    <x:dataValidation type="list" sqref="J5:J104">
      <x:formula1>'Assumptions'!$Y$27:$Y$32</x:formula1>
    </x:dataValidation>
    <x:dataValidation type="list" sqref="K5:K104">
      <x:formula1>'Assumptions'!$W$27:$W$33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e9940d79474960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52" hidden="0" customWidth="1"/>
    <x:col min="5" max="5" width="24" hidden="0" customWidth="1"/>
    <x:col min="6" max="6" width="14" hidden="0" customWidth="1"/>
    <x:col min="7" max="7" width="54" hidden="0" customWidth="1"/>
    <x:col min="8" max="8" width="16" hidden="0" customWidth="1"/>
    <x:col min="9" max="9" width="17" hidden="0" customWidth="1"/>
    <x:col min="10" max="10" width="42" hidden="0" customWidth="1"/>
    <x:col min="11" max="11" width="34" hidden="0" customWidth="1"/>
  </x:cols>
  <x:sheetData>
    <x:row r="1" ht="30" customHeight="1">
      <x:c r="A1" s="38" t="str">
        <x:v>Ticket Gaps</x:v>
      </x:c>
      <x:c r="B1" s="38" t="str">
        <x:v>Ticket Gaps</x:v>
      </x:c>
      <x:c r="C1" s="38" t="str">
        <x:v>Ticket Gaps</x:v>
      </x:c>
      <x:c r="D1" s="38" t="str">
        <x:v>Ticket Gaps</x:v>
      </x:c>
      <x:c r="E1" s="38" t="str">
        <x:v>Ticket Gaps</x:v>
      </x:c>
      <x:c r="F1" s="38" t="str">
        <x:v>Ticket Gaps</x:v>
      </x:c>
      <x:c r="G1" s="38" t="str">
        <x:v>Ticket Gaps</x:v>
      </x:c>
      <x:c r="H1" s="38" t="str">
        <x:v>Ticket Gaps</x:v>
      </x:c>
      <x:c r="I1" s="38" t="str">
        <x:v>Ticket Gaps</x:v>
      </x:c>
      <x:c r="J1" s="38" t="str">
        <x:v>Ticket Gaps</x:v>
      </x:c>
      <x:c r="K1" s="38" t="str">
        <x:v>Ticket Gaps</x:v>
      </x:c>
    </x:row>
    <x:row r="2" ht="34" customHeight="1">
      <x:c r="A2" s="39" t="str">
        <x:v>Every missing or weak Jira item needs an owner, action, and due date so estimates can become defensible.</x:v>
      </x:c>
      <x:c r="B2" s="39" t="str">
        <x:v>Every missing or weak Jira item needs an owner, action, and due date so estimates can become defensible.</x:v>
      </x:c>
      <x:c r="C2" s="39" t="str">
        <x:v>Every missing or weak Jira item needs an owner, action, and due date so estimates can become defensible.</x:v>
      </x:c>
      <x:c r="D2" s="39" t="str">
        <x:v>Every missing or weak Jira item needs an owner, action, and due date so estimates can become defensible.</x:v>
      </x:c>
      <x:c r="E2" s="39" t="str">
        <x:v>Every missing or weak Jira item needs an owner, action, and due date so estimates can become defensible.</x:v>
      </x:c>
      <x:c r="F2" s="39" t="str">
        <x:v>Every missing or weak Jira item needs an owner, action, and due date so estimates can become defensible.</x:v>
      </x:c>
      <x:c r="G2" s="39" t="str">
        <x:v>Every missing or weak Jira item needs an owner, action, and due date so estimates can become defensible.</x:v>
      </x:c>
      <x:c r="H2" s="39" t="str">
        <x:v>Every missing or weak Jira item needs an owner, action, and due date so estimates can become defensible.</x:v>
      </x:c>
      <x:c r="I2" s="39" t="str">
        <x:v>Every missing or weak Jira item needs an owner, action, and due date so estimates can become defensible.</x:v>
      </x:c>
      <x:c r="J2" s="39" t="str">
        <x:v>Every missing or weak Jira item needs an owner, action, and due date so estimates can become defensible.</x:v>
      </x:c>
      <x:c r="K2" s="39" t="str">
        <x:v>Every missing or weak Jira item needs an owner, action, and due date so estimates can become defensible.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</x:row>
    <x:row r="4" ht="34" customHeight="1">
      <x:c r="A4" s="44" t="str">
        <x:v>Gap ID</x:v>
      </x:c>
      <x:c r="B4" s="44" t="str">
        <x:v>Related Work Item</x:v>
      </x:c>
      <x:c r="C4" s="44" t="str">
        <x:v>Gap Type</x:v>
      </x:c>
      <x:c r="D4" s="44" t="str">
        <x:v>Gap / Missing Info</x:v>
      </x:c>
      <x:c r="E4" s="44" t="str">
        <x:v>Owner</x:v>
      </x:c>
      <x:c r="F4" s="44" t="str">
        <x:v>Due Date</x:v>
      </x:c>
      <x:c r="G4" s="44" t="str">
        <x:v>Action Needed</x:v>
      </x:c>
      <x:c r="H4" s="44" t="str">
        <x:v>Status</x:v>
      </x:c>
      <x:c r="I4" s="44" t="str">
        <x:v>Estimate Impact</x:v>
      </x:c>
      <x:c r="J4" s="44" t="str">
        <x:v>Leadership Ask</x:v>
      </x:c>
      <x:c r="K4" s="44" t="str">
        <x:v>Notes</x:v>
      </x:c>
    </x:row>
    <x:row r="5">
      <x:c r="A5" s="15" t="str">
        <x:v>TG-SRC-001</x:v>
      </x:c>
      <x:c r="B5" s="15" t="str">
        <x:v>JiraTickets(1).zip</x:v>
      </x:c>
      <x:c r="C5" s="15" t="str">
        <x:v>Source Data Needed</x:v>
      </x:c>
      <x:c r="D5" s="15" t="str">
        <x:v>60 of 78 screenshots did not produce readable ticket fields in the bounded pass.</x:v>
      </x:c>
      <x:c r="E5" s="15" t="str">
        <x:v>Larry / CVIS</x:v>
      </x:c>
      <x:c r="F5" s="20" t="n">
        <x:v>46251</x:v>
      </x:c>
      <x:c r="G5" s="15" t="str">
        <x:v>Use Jira YAML/CSV export if possible; otherwise have owners supply ticket keys for critical items.</x:v>
      </x:c>
      <x:c r="H5" s="15" t="str">
        <x:v>In Progress</x:v>
      </x:c>
      <x:c r="I5" s="15" t="str">
        <x:v>High</x:v>
      </x:c>
      <x:c r="J5" s="15" t="str">
        <x:v>Do not treat unreadable screenshots as missing work; track them as source-data gaps.</x:v>
      </x:c>
      <x:c r="K5" s="15" t="str">
        <x:v>Generated from source audit.</x:v>
      </x:c>
    </x:row>
    <x:row r="6">
      <x:c r="A6" s="15" t="str">
        <x:v>TG-SRC-002</x:v>
      </x:c>
      <x:c r="B6" s="15" t="str">
        <x:v>Parsed Jira screenshot rows</x:v>
      </x:c>
      <x:c r="C6" s="15" t="str">
        <x:v>Existing But Incomplete</x:v>
      </x:c>
      <x:c r="D6" s="15" t="str">
        <x:v>The screenshots do not consistently expose the actual Jira issue key; many rows only show Feature Link or source context.</x:v>
      </x:c>
      <x:c r="E6" s="15" t="str">
        <x:v>CVIS / Team Owners</x:v>
      </x:c>
      <x:c r="F6" s="20" t="n">
        <x:v>46251</x:v>
      </x:c>
      <x:c r="G6" s="15" t="str">
        <x:v>Supply the real Jira issue key from Jira export/team owner and keep Feature Link separate.</x:v>
      </x:c>
      <x:c r="H6" s="15" t="str">
        <x:v>To do</x:v>
      </x:c>
      <x:c r="I6" s="15" t="str">
        <x:v>High</x:v>
      </x:c>
      <x:c r="J6" s="15" t="str">
        <x:v>Use this to explain why ticket cleanup is part of the recovery plan.</x:v>
      </x:c>
      <x:c r="K6" s="15" t="str">
        <x:v>Generated from source audit.</x:v>
      </x:c>
    </x:row>
    <x:row r="7">
      <x:c r="A7" s="15" t="str">
        <x:v>TG-001</x:v>
      </x:c>
      <x:c r="B7" s="15" t="str">
        <x:v>JiraTickets(1).zip</x:v>
      </x:c>
      <x:c r="C7" s="15" t="str">
        <x:v>Source Data Needed</x:v>
      </x:c>
      <x:c r="D7" s="15" t="str">
        <x:v>Attachment contains screenshots rather than YAML/CSV, so extraction is slower and less reliable.</x:v>
      </x:c>
      <x:c r="E7" s="15" t="str">
        <x:v>Larry / CVIS</x:v>
      </x:c>
      <x:c r="F7" s="20" t="n">
        <x:v>46251</x:v>
      </x:c>
      <x:c r="G7" s="15" t="str">
        <x:v>Request machine-readable Jira export if available; otherwise have owners supply ticket keys for critical items.</x:v>
      </x:c>
      <x:c r="H7" s="15" t="str">
        <x:v>In Progress</x:v>
      </x:c>
      <x:c r="I7" s="15" t="str">
        <x:v>Medium</x:v>
      </x:c>
      <x:c r="J7" s="15" t="str">
        <x:v>Allow estimates to carry source confidence until export is available.</x:v>
      </x:c>
      <x:c r="K7" s="15" t="str"/>
    </x:row>
    <x:row r="8">
      <x:c r="A8" s="15" t="str">
        <x:v>TG-002</x:v>
      </x:c>
      <x:c r="B8" s="15" t="str">
        <x:v>RSA removal release</x:v>
      </x:c>
      <x:c r="C8" s="15" t="str">
        <x:v>Existing But Incomplete</x:v>
      </x:c>
      <x:c r="D8" s="15" t="str">
        <x:v>Need exact Jira key, CAB/CHK linkage, release date, and validation evidence.</x:v>
      </x:c>
      <x:c r="E8" s="15" t="str">
        <x:v>Yasser / CVIS</x:v>
      </x:c>
      <x:c r="F8" s="20" t="n">
        <x:v>46254</x:v>
      </x:c>
      <x:c r="G8" s="15" t="str">
        <x:v>Collect ticket details and link the release to the modernization risk row.</x:v>
      </x:c>
      <x:c r="H8" s="15" t="str">
        <x:v>To do</x:v>
      </x:c>
      <x:c r="I8" s="15" t="str">
        <x:v>High</x:v>
      </x:c>
      <x:c r="J8" s="15" t="str">
        <x:v>Escalate if the release is blocked before end-of-month RSA retirement.</x:v>
      </x:c>
      <x:c r="K8" s="15" t="str"/>
    </x:row>
    <x:row r="9">
      <x:c r="A9" s="15" t="str">
        <x:v>TG-003</x:v>
      </x:c>
      <x:c r="B9" s="15" t="str">
        <x:v>Container resource request</x:v>
      </x:c>
      <x:c r="C9" s="15" t="str">
        <x:v>Missing Ticket</x:v>
      </x:c>
      <x:c r="D9" s="15" t="str">
        <x:v>Request cannot be submitted until PtB approval clears.</x:v>
      </x:c>
      <x:c r="E9" s="15" t="str">
        <x:v>CVIS / Matthew Burger</x:v>
      </x:c>
      <x:c r="F9" s="20" t="n">
        <x:v>46253</x:v>
      </x:c>
      <x:c r="G9" s="15" t="str">
        <x:v>Prepare request details now and create ticket/request immediately after PtB approval.</x:v>
      </x:c>
      <x:c r="H9" s="15" t="str">
        <x:v>Waiting External</x:v>
      </x:c>
      <x:c r="I9" s="15" t="str">
        <x:v>High</x:v>
      </x:c>
      <x:c r="J9" s="15" t="str">
        <x:v>Prioritize PtB review because resource lead time cannot start before approval.</x:v>
      </x:c>
      <x:c r="K9" s="15" t="str"/>
    </x:row>
    <x:row r="10">
      <x:c r="A10" s="15" t="str">
        <x:v>TG-004</x:v>
      </x:c>
      <x:c r="B10" s="15" t="str">
        <x:v>Apigee/API resource request</x:v>
      </x:c>
      <x:c r="C10" s="15" t="str">
        <x:v>Missing Ticket</x:v>
      </x:c>
      <x:c r="D10" s="15" t="str">
        <x:v>Request cannot be submitted until PtB approval clears.</x:v>
      </x:c>
      <x:c r="E10" s="15" t="str">
        <x:v>CVIS / API Team</x:v>
      </x:c>
      <x:c r="F10" s="20" t="n">
        <x:v>46253</x:v>
      </x:c>
      <x:c r="G10" s="15" t="str">
        <x:v>Prepare request details now and create ticket/request immediately after PtB approval.</x:v>
      </x:c>
      <x:c r="H10" s="15" t="str">
        <x:v>Waiting External</x:v>
      </x:c>
      <x:c r="I10" s="15" t="str">
        <x:v>High</x:v>
      </x:c>
      <x:c r="J10" s="15" t="str">
        <x:v>Prioritize PtB review because API lead time gates DB/API path.</x:v>
      </x:c>
      <x:c r="K10" s="15" t="str"/>
    </x:row>
    <x:row r="11">
      <x:c r="A11" s="15" t="str">
        <x:v>TG-005</x:v>
      </x:c>
      <x:c r="B11" s="15" t="str">
        <x:v>BCP exception</x:v>
      </x:c>
      <x:c r="C11" s="15" t="str">
        <x:v>Missing Ticket</x:v>
      </x:c>
      <x:c r="D11" s="15" t="str">
        <x:v>Need exception path, owner, revised milestone evidence, and control plan.</x:v>
      </x:c>
      <x:c r="E11" s="15" t="str">
        <x:v>CVIS / Governance</x:v>
      </x:c>
      <x:c r="F11" s="20" t="n">
        <x:v>46254</x:v>
      </x:c>
      <x:c r="G11" s="15" t="str">
        <x:v>Open or route exception and document it in Brad Readiness.</x:v>
      </x:c>
      <x:c r="H11" s="15" t="str">
        <x:v>To do</x:v>
      </x:c>
      <x:c r="I11" s="15" t="str">
        <x:v>High</x:v>
      </x:c>
      <x:c r="J11" s="15" t="str">
        <x:v>Confirm exception handling so the missed test is controlled, not unexplained.</x:v>
      </x:c>
      <x:c r="K11" s="15" t="str"/>
    </x:row>
    <x:row r="12">
      <x:c r="A12" s="15" t="str">
        <x:v>TG-006</x:v>
      </x:c>
      <x:c r="B12" s="15" t="str">
        <x:v>CAB / CHK coverage</x:v>
      </x:c>
      <x:c r="C12" s="15" t="str">
        <x:v>Missing Ticket</x:v>
      </x:c>
      <x:c r="D12" s="15" t="str">
        <x:v>Release-control tickets are not yet linked to release-facing milestones.</x:v>
      </x:c>
      <x:c r="E12" s="15" t="str">
        <x:v>Release Management / CVIS</x:v>
      </x:c>
      <x:c r="F12" s="20" t="n">
        <x:v>46254</x:v>
      </x:c>
      <x:c r="G12" s="15" t="str">
        <x:v>Add CAB/CHK fields to release rows and collect IDs for RSA and future production moves.</x:v>
      </x:c>
      <x:c r="H12" s="15" t="str">
        <x:v>To do</x:v>
      </x:c>
      <x:c r="I12" s="15" t="str">
        <x:v>Medium</x:v>
      </x:c>
      <x:c r="J12" s="15" t="str">
        <x:v>Support approval path if release governance blocks dates.</x:v>
      </x:c>
      <x:c r="K12" s="15" t="str"/>
    </x:row>
    <x:row r="13">
      <x:c r="A13" s="15" t="str">
        <x:v>TG-007</x:v>
      </x:c>
      <x:c r="B13" s="15" t="str">
        <x:v>Application rationalization</x:v>
      </x:c>
      <x:c r="C13" s="15" t="str">
        <x:v>Needs Split</x:v>
      </x:c>
      <x:c r="D13" s="15" t="str">
        <x:v>One overall inventory item is not enough; owners need per-app updates for phase, disposition, complexity, and blockers.</x:v>
      </x:c>
      <x:c r="E13" s="15" t="str">
        <x:v>CVIS Team</x:v>
      </x:c>
      <x:c r="F13" s="20" t="n">
        <x:v>46254</x:v>
      </x:c>
      <x:c r="G13" s="15" t="str">
        <x:v>Split work by owner/team and track completion.</x:v>
      </x:c>
      <x:c r="H13" s="15" t="str">
        <x:v>In Progress</x:v>
      </x:c>
      <x:c r="I13" s="15" t="str">
        <x:v>High</x:v>
      </x:c>
      <x:c r="J13" s="15" t="str">
        <x:v>Enforce quick turnaround so Phase 1 scope can be defended.</x:v>
      </x:c>
      <x:c r="K13" s="15" t="str"/>
    </x:row>
    <x:row r="14">
      <x:c r="A14" s="15" t="str">
        <x:v>TG-008</x:v>
      </x:c>
      <x:c r="B14" s="15" t="str">
        <x:v>.NET 10 / runtime assessment</x:v>
      </x:c>
      <x:c r="C14" s="15" t="str">
        <x:v>Missing Ticket</x:v>
      </x:c>
      <x:c r="D14" s="15" t="str">
        <x:v>Need app-by-app current framework/runtime evidence and migration urgency.</x:v>
      </x:c>
      <x:c r="E14" s="15" t="str">
        <x:v>CVIS / Architecture</x:v>
      </x:c>
      <x:c r="F14" s="20" t="n">
        <x:v>46254</x:v>
      </x:c>
      <x:c r="G14" s="15" t="str">
        <x:v>Create runtime assessment task or add runtime field to owner intake.</x:v>
      </x:c>
      <x:c r="H14" s="15" t="str">
        <x:v>To do</x:v>
      </x:c>
      <x:c r="I14" s="15" t="str">
        <x:v>High</x:v>
      </x:c>
      <x:c r="J14" s="15" t="str">
        <x:v>Support Unity urgency before end-of-September fix/release constraint.</x:v>
      </x:c>
      <x:c r="K14" s="15" t="str"/>
    </x:row>
    <x:row r="15">
      <x:c r="A15" s="15" t="str">
        <x:v>TG-009</x:v>
      </x:c>
      <x:c r="B15" s="15" t="str">
        <x:v>ESAR/MCC SSIS consumers</x:v>
      </x:c>
      <x:c r="C15" s="15" t="str">
        <x:v>Missing Ticket</x:v>
      </x:c>
      <x:c r="D15" s="15" t="str">
        <x:v>Need notification/coordination evidence for two SSIS consumer packages.</x:v>
      </x:c>
      <x:c r="E15" s="15" t="str">
        <x:v>CVIS / ESAR / MCC</x:v>
      </x:c>
      <x:c r="F15" s="20" t="n">
        <x:v>46254</x:v>
      </x:c>
      <x:c r="G15" s="15" t="str">
        <x:v>Notify package owners and record remediation plan or dependency ticket.</x:v>
      </x:c>
      <x:c r="H15" s="15" t="str">
        <x:v>To do</x:v>
      </x:c>
      <x:c r="I15" s="15" t="str">
        <x:v>Medium</x:v>
      </x:c>
      <x:c r="J15" s="15" t="str">
        <x:v>Escalate only if package owners cannot confirm their path.</x:v>
      </x:c>
      <x:c r="K15" s="15" t="str"/>
    </x:row>
    <x:row r="16">
      <x:c r="A16" s="15" t="str">
        <x:v>TG-010</x:v>
      </x:c>
      <x:c r="B16" s="15" t="str">
        <x:v>INC / SEV impact logging</x:v>
      </x:c>
      <x:c r="C16" s="15" t="str">
        <x:v>Needs Split</x:v>
      </x:c>
      <x:c r="D16" s="15" t="str">
        <x:v>Production support interruptions need separate dated rows so schedule impact is visible.</x:v>
      </x:c>
      <x:c r="E16" s="15" t="str">
        <x:v>Production Support / CVIS</x:v>
      </x:c>
      <x:c r="F16" s="20" t="n">
        <x:v>46254</x:v>
      </x:c>
      <x:c r="G16" s="15" t="str">
        <x:v>Add each incident with severity, owner, time spent, affected sprint, and recovery action.</x:v>
      </x:c>
      <x:c r="H16" s="15" t="str">
        <x:v>To do</x:v>
      </x:c>
      <x:c r="I16" s="15" t="str">
        <x:v>Medium</x:v>
      </x:c>
      <x:c r="J16" s="15" t="str">
        <x:v>Recognize incident response as legitimate schedule-impact work.</x:v>
      </x:c>
      <x:c r="K16" s="15" t="str"/>
    </x:row>
    <x:row r="17">
      <x:c r="A17" s="15" t="str">
        <x:v>TG-011</x:v>
      </x:c>
      <x:c r="B17" s="15" t="str">
        <x:v>NFR evidence</x:v>
      </x:c>
      <x:c r="C17" s="15" t="str">
        <x:v>Existing But Incomplete</x:v>
      </x:c>
      <x:c r="D17" s="15" t="str">
        <x:v>Need map from NFR work to specific tickets/evidence/status.</x:v>
      </x:c>
      <x:c r="E17" s="15" t="str">
        <x:v>CVIS / NFR Review</x:v>
      </x:c>
      <x:c r="F17" s="20" t="n">
        <x:v>46256</x:v>
      </x:c>
      <x:c r="G17" s="15" t="str">
        <x:v>Link NFR tickets to NFR sheet and mark missing evidence.</x:v>
      </x:c>
      <x:c r="H17" s="15" t="str">
        <x:v>To do</x:v>
      </x:c>
      <x:c r="I17" s="15" t="str">
        <x:v>High</x:v>
      </x:c>
      <x:c r="J17" s="15" t="str">
        <x:v>Support NFR review path and production readiness confidence.</x:v>
      </x:c>
      <x:c r="K17" s="15" t="str"/>
    </x:row>
    <x:row r="18">
      <x:c r="A18" s="15" t="str">
        <x:v>TG-012</x:v>
      </x:c>
      <x:c r="B18" s="15" t="str">
        <x:v>HyperExecute testing</x:v>
      </x:c>
      <x:c r="C18" s="15" t="str">
        <x:v>Missing Ticket</x:v>
      </x:c>
      <x:c r="D18" s="15" t="str">
        <x:v>Automated testing onboarding is separate from Harness deployment and needs coverage.</x:v>
      </x:c>
      <x:c r="E18" s="15" t="str">
        <x:v>CVIS / Automated Testing</x:v>
      </x:c>
      <x:c r="F18" s="20" t="n">
        <x:v>46256</x:v>
      </x:c>
      <x:c r="G18" s="15" t="str">
        <x:v>Create onboarding/testing-readiness ticket and link to validation milestone.</x:v>
      </x:c>
      <x:c r="H18" s="15" t="str">
        <x:v>To do</x:v>
      </x:c>
      <x:c r="I18" s="15" t="str">
        <x:v>Medium</x:v>
      </x:c>
      <x:c r="J18" s="15" t="str">
        <x:v>None unless onboarding stalls.</x:v>
      </x:c>
      <x:c r="K18" s="15" t="str"/>
    </x:row>
    <x:row r="19">
      <x:c r="A19" s="15" t="str"/>
      <x:c r="B19" s="15" t="str"/>
      <x:c r="C19" s="15" t="str"/>
      <x:c r="D19" s="15" t="str"/>
      <x:c r="E19" s="15" t="str"/>
      <x:c r="F19" s="20" t="str"/>
      <x:c r="G19" s="15" t="str"/>
      <x:c r="H19" s="15" t="str"/>
      <x:c r="I19" s="15" t="str"/>
      <x:c r="J19" s="15" t="str"/>
      <x:c r="K19" s="15" t="str"/>
    </x:row>
    <x:row r="20">
      <x:c r="A20" s="15" t="str"/>
      <x:c r="B20" s="15" t="str"/>
      <x:c r="C20" s="15" t="str"/>
      <x:c r="D20" s="15" t="str"/>
      <x:c r="E20" s="15" t="str"/>
      <x:c r="F20" s="20" t="str"/>
      <x:c r="G20" s="15" t="str"/>
      <x:c r="H20" s="15" t="str"/>
      <x:c r="I20" s="15" t="str"/>
      <x:c r="J20" s="15" t="str"/>
      <x:c r="K20" s="15" t="str"/>
    </x:row>
    <x:row r="21">
      <x:c r="A21" s="15" t="str"/>
      <x:c r="B21" s="15" t="str"/>
      <x:c r="C21" s="15" t="str"/>
      <x:c r="D21" s="15" t="str"/>
      <x:c r="E21" s="15" t="str"/>
      <x:c r="F21" s="20" t="str"/>
      <x:c r="G21" s="15" t="str"/>
      <x:c r="H21" s="15" t="str"/>
      <x:c r="I21" s="15" t="str"/>
      <x:c r="J21" s="15" t="str"/>
      <x:c r="K21" s="15" t="str"/>
    </x:row>
    <x:row r="22">
      <x:c r="A22" s="15" t="str"/>
      <x:c r="B22" s="15" t="str"/>
      <x:c r="C22" s="15" t="str"/>
      <x:c r="D22" s="15" t="str"/>
      <x:c r="E22" s="15" t="str"/>
      <x:c r="F22" s="20" t="str"/>
      <x:c r="G22" s="15" t="str"/>
      <x:c r="H22" s="15" t="str"/>
      <x:c r="I22" s="15" t="str"/>
      <x:c r="J22" s="15" t="str"/>
      <x:c r="K22" s="15" t="str"/>
    </x:row>
    <x:row r="23">
      <x:c r="A23" s="15" t="str"/>
      <x:c r="B23" s="15" t="str"/>
      <x:c r="C23" s="15" t="str"/>
      <x:c r="D23" s="15" t="str"/>
      <x:c r="E23" s="15" t="str"/>
      <x:c r="F23" s="20" t="str"/>
      <x:c r="G23" s="15" t="str"/>
      <x:c r="H23" s="15" t="str"/>
      <x:c r="I23" s="15" t="str"/>
      <x:c r="J23" s="15" t="str"/>
      <x:c r="K23" s="15" t="str"/>
    </x:row>
    <x:row r="24">
      <x:c r="A24" s="15" t="str"/>
      <x:c r="B24" s="15" t="str"/>
      <x:c r="C24" s="15" t="str"/>
      <x:c r="D24" s="15" t="str"/>
      <x:c r="E24" s="15" t="str"/>
      <x:c r="F24" s="20" t="str"/>
      <x:c r="G24" s="15" t="str"/>
      <x:c r="H24" s="15" t="str"/>
      <x:c r="I24" s="15" t="str"/>
      <x:c r="J24" s="15" t="str"/>
      <x:c r="K24" s="15" t="str"/>
    </x:row>
    <x:row r="25">
      <x:c r="A25" s="15" t="str"/>
      <x:c r="B25" s="15" t="str"/>
      <x:c r="C25" s="15" t="str"/>
      <x:c r="D25" s="15" t="str"/>
      <x:c r="E25" s="15" t="str"/>
      <x:c r="F25" s="20" t="str"/>
      <x:c r="G25" s="15" t="str"/>
      <x:c r="H25" s="15" t="str"/>
      <x:c r="I25" s="15" t="str"/>
      <x:c r="J25" s="15" t="str"/>
      <x:c r="K25" s="15" t="str"/>
    </x:row>
    <x:row r="26">
      <x:c r="A26" s="15" t="str"/>
      <x:c r="B26" s="15" t="str"/>
      <x:c r="C26" s="15" t="str"/>
      <x:c r="D26" s="15" t="str"/>
      <x:c r="E26" s="15" t="str"/>
      <x:c r="F26" s="20" t="str"/>
      <x:c r="G26" s="15" t="str"/>
      <x:c r="H26" s="15" t="str"/>
      <x:c r="I26" s="15" t="str"/>
      <x:c r="J26" s="15" t="str"/>
      <x:c r="K26" s="15" t="str"/>
    </x:row>
    <x:row r="27">
      <x:c r="A27" s="15" t="str"/>
      <x:c r="B27" s="15" t="str"/>
      <x:c r="C27" s="15" t="str"/>
      <x:c r="D27" s="15" t="str"/>
      <x:c r="E27" s="15" t="str"/>
      <x:c r="F27" s="20" t="str"/>
      <x:c r="G27" s="15" t="str"/>
      <x:c r="H27" s="15" t="str"/>
      <x:c r="I27" s="15" t="str"/>
      <x:c r="J27" s="15" t="str"/>
      <x:c r="K27" s="15" t="str"/>
    </x:row>
    <x:row r="28">
      <x:c r="A28" s="15" t="str"/>
      <x:c r="B28" s="15" t="str"/>
      <x:c r="C28" s="15" t="str"/>
      <x:c r="D28" s="15" t="str"/>
      <x:c r="E28" s="15" t="str"/>
      <x:c r="F28" s="20" t="str"/>
      <x:c r="G28" s="15" t="str"/>
      <x:c r="H28" s="15" t="str"/>
      <x:c r="I28" s="15" t="str"/>
      <x:c r="J28" s="15" t="str"/>
      <x:c r="K28" s="15" t="str"/>
    </x:row>
    <x:row r="29">
      <x:c r="A29" s="15" t="str"/>
      <x:c r="B29" s="15" t="str"/>
      <x:c r="C29" s="15" t="str"/>
      <x:c r="D29" s="15" t="str"/>
      <x:c r="E29" s="15" t="str"/>
      <x:c r="F29" s="20" t="str"/>
      <x:c r="G29" s="15" t="str"/>
      <x:c r="H29" s="15" t="str"/>
      <x:c r="I29" s="15" t="str"/>
      <x:c r="J29" s="15" t="str"/>
      <x:c r="K29" s="15" t="str"/>
    </x:row>
    <x:row r="30">
      <x:c r="A30" s="15" t="str"/>
      <x:c r="B30" s="15" t="str"/>
      <x:c r="C30" s="15" t="str"/>
      <x:c r="D30" s="15" t="str"/>
      <x:c r="E30" s="15" t="str"/>
      <x:c r="F30" s="20" t="str"/>
      <x:c r="G30" s="15" t="str"/>
      <x:c r="H30" s="15" t="str"/>
      <x:c r="I30" s="15" t="str"/>
      <x:c r="J30" s="15" t="str"/>
      <x:c r="K30" s="15" t="str"/>
    </x:row>
    <x:row r="31">
      <x:c r="A31" s="15" t="str"/>
      <x:c r="B31" s="15" t="str"/>
      <x:c r="C31" s="15" t="str"/>
      <x:c r="D31" s="15" t="str"/>
      <x:c r="E31" s="15" t="str"/>
      <x:c r="F31" s="20" t="str"/>
      <x:c r="G31" s="15" t="str"/>
      <x:c r="H31" s="15" t="str"/>
      <x:c r="I31" s="15" t="str"/>
      <x:c r="J31" s="15" t="str"/>
      <x:c r="K31" s="15" t="str"/>
    </x:row>
    <x:row r="32">
      <x:c r="A32" s="15" t="str"/>
      <x:c r="B32" s="15" t="str"/>
      <x:c r="C32" s="15" t="str"/>
      <x:c r="D32" s="15" t="str"/>
      <x:c r="E32" s="15" t="str"/>
      <x:c r="F32" s="20" t="str"/>
      <x:c r="G32" s="15" t="str"/>
      <x:c r="H32" s="15" t="str"/>
      <x:c r="I32" s="15" t="str"/>
      <x:c r="J32" s="15" t="str"/>
      <x:c r="K32" s="15" t="str"/>
    </x:row>
    <x:row r="33">
      <x:c r="A33" s="15" t="str"/>
      <x:c r="B33" s="15" t="str"/>
      <x:c r="C33" s="15" t="str"/>
      <x:c r="D33" s="15" t="str"/>
      <x:c r="E33" s="15" t="str"/>
      <x:c r="F33" s="20" t="str"/>
      <x:c r="G33" s="15" t="str"/>
      <x:c r="H33" s="15" t="str"/>
      <x:c r="I33" s="15" t="str"/>
      <x:c r="J33" s="15" t="str"/>
      <x:c r="K33" s="15" t="str"/>
    </x:row>
    <x:row r="34">
      <x:c r="A34" s="15" t="str"/>
      <x:c r="B34" s="15" t="str"/>
      <x:c r="C34" s="15" t="str"/>
      <x:c r="D34" s="15" t="str"/>
      <x:c r="E34" s="15" t="str"/>
      <x:c r="F34" s="20" t="str"/>
      <x:c r="G34" s="15" t="str"/>
      <x:c r="H34" s="15" t="str"/>
      <x:c r="I34" s="15" t="str"/>
      <x:c r="J34" s="15" t="str"/>
      <x:c r="K34" s="15" t="str"/>
    </x:row>
    <x:row r="35">
      <x:c r="A35" s="15" t="str"/>
      <x:c r="B35" s="15" t="str"/>
      <x:c r="C35" s="15" t="str"/>
      <x:c r="D35" s="15" t="str"/>
      <x:c r="E35" s="15" t="str"/>
      <x:c r="F35" s="20" t="str"/>
      <x:c r="G35" s="15" t="str"/>
      <x:c r="H35" s="15" t="str"/>
      <x:c r="I35" s="15" t="str"/>
      <x:c r="J35" s="15" t="str"/>
      <x:c r="K35" s="15" t="str"/>
    </x:row>
    <x:row r="36">
      <x:c r="A36" s="15" t="str"/>
      <x:c r="B36" s="15" t="str"/>
      <x:c r="C36" s="15" t="str"/>
      <x:c r="D36" s="15" t="str"/>
      <x:c r="E36" s="15" t="str"/>
      <x:c r="F36" s="20" t="str"/>
      <x:c r="G36" s="15" t="str"/>
      <x:c r="H36" s="15" t="str"/>
      <x:c r="I36" s="15" t="str"/>
      <x:c r="J36" s="15" t="str"/>
      <x:c r="K36" s="15" t="str"/>
    </x:row>
    <x:row r="37">
      <x:c r="A37" s="15" t="str"/>
      <x:c r="B37" s="15" t="str"/>
      <x:c r="C37" s="15" t="str"/>
      <x:c r="D37" s="15" t="str"/>
      <x:c r="E37" s="15" t="str"/>
      <x:c r="F37" s="20" t="str"/>
      <x:c r="G37" s="15" t="str"/>
      <x:c r="H37" s="15" t="str"/>
      <x:c r="I37" s="15" t="str"/>
      <x:c r="J37" s="15" t="str"/>
      <x:c r="K37" s="15" t="str"/>
    </x:row>
    <x:row r="38">
      <x:c r="A38" s="15" t="str"/>
      <x:c r="B38" s="15" t="str"/>
      <x:c r="C38" s="15" t="str"/>
      <x:c r="D38" s="15" t="str"/>
      <x:c r="E38" s="15" t="str"/>
      <x:c r="F38" s="20" t="str"/>
      <x:c r="G38" s="15" t="str"/>
      <x:c r="H38" s="15" t="str"/>
      <x:c r="I38" s="15" t="str"/>
      <x:c r="J38" s="15" t="str"/>
      <x:c r="K38" s="15" t="str"/>
    </x:row>
    <x:row r="39">
      <x:c r="A39" s="15" t="str"/>
      <x:c r="B39" s="15" t="str"/>
      <x:c r="C39" s="15" t="str"/>
      <x:c r="D39" s="15" t="str"/>
      <x:c r="E39" s="15" t="str"/>
      <x:c r="F39" s="20" t="str"/>
      <x:c r="G39" s="15" t="str"/>
      <x:c r="H39" s="15" t="str"/>
      <x:c r="I39" s="15" t="str"/>
      <x:c r="J39" s="15" t="str"/>
      <x:c r="K39" s="15" t="str"/>
    </x:row>
    <x:row r="40">
      <x:c r="A40" s="15" t="str"/>
      <x:c r="B40" s="15" t="str"/>
      <x:c r="C40" s="15" t="str"/>
      <x:c r="D40" s="15" t="str"/>
      <x:c r="E40" s="15" t="str"/>
      <x:c r="F40" s="20" t="str"/>
      <x:c r="G40" s="15" t="str"/>
      <x:c r="H40" s="15" t="str"/>
      <x:c r="I40" s="15" t="str"/>
      <x:c r="J40" s="15" t="str"/>
      <x:c r="K40" s="15" t="str"/>
    </x:row>
    <x:row r="41">
      <x:c r="A41" s="15" t="str"/>
      <x:c r="B41" s="15" t="str"/>
      <x:c r="C41" s="15" t="str"/>
      <x:c r="D41" s="15" t="str"/>
      <x:c r="E41" s="15" t="str"/>
      <x:c r="F41" s="20" t="str"/>
      <x:c r="G41" s="15" t="str"/>
      <x:c r="H41" s="15" t="str"/>
      <x:c r="I41" s="15" t="str"/>
      <x:c r="J41" s="15" t="str"/>
      <x:c r="K41" s="15" t="str"/>
    </x:row>
    <x:row r="42">
      <x:c r="A42" s="15" t="str"/>
      <x:c r="B42" s="15" t="str"/>
      <x:c r="C42" s="15" t="str"/>
      <x:c r="D42" s="15" t="str"/>
      <x:c r="E42" s="15" t="str"/>
      <x:c r="F42" s="20" t="str"/>
      <x:c r="G42" s="15" t="str"/>
      <x:c r="H42" s="15" t="str"/>
      <x:c r="I42" s="15" t="str"/>
      <x:c r="J42" s="15" t="str"/>
      <x:c r="K42" s="15" t="str"/>
    </x:row>
    <x:row r="43">
      <x:c r="A43" s="15" t="str"/>
      <x:c r="B43" s="15" t="str"/>
      <x:c r="C43" s="15" t="str"/>
      <x:c r="D43" s="15" t="str"/>
      <x:c r="E43" s="15" t="str"/>
      <x:c r="F43" s="20" t="str"/>
      <x:c r="G43" s="15" t="str"/>
      <x:c r="H43" s="15" t="str"/>
      <x:c r="I43" s="15" t="str"/>
      <x:c r="J43" s="15" t="str"/>
      <x:c r="K43" s="15" t="str"/>
    </x:row>
    <x:row r="44">
      <x:c r="A44" s="15" t="str"/>
      <x:c r="B44" s="15" t="str"/>
      <x:c r="C44" s="15" t="str"/>
      <x:c r="D44" s="15" t="str"/>
      <x:c r="E44" s="15" t="str"/>
      <x:c r="F44" s="20" t="str"/>
      <x:c r="G44" s="15" t="str"/>
      <x:c r="H44" s="15" t="str"/>
      <x:c r="I44" s="15" t="str"/>
      <x:c r="J44" s="15" t="str"/>
      <x:c r="K44" s="15" t="str"/>
    </x:row>
    <x:row r="45">
      <x:c r="A45" s="15" t="str"/>
      <x:c r="B45" s="15" t="str"/>
      <x:c r="C45" s="15" t="str"/>
      <x:c r="D45" s="15" t="str"/>
      <x:c r="E45" s="15" t="str"/>
      <x:c r="F45" s="20" t="str"/>
      <x:c r="G45" s="15" t="str"/>
      <x:c r="H45" s="15" t="str"/>
      <x:c r="I45" s="15" t="str"/>
      <x:c r="J45" s="15" t="str"/>
      <x:c r="K45" s="15" t="str"/>
    </x:row>
    <x:row r="46">
      <x:c r="A46" s="15" t="str"/>
      <x:c r="B46" s="15" t="str"/>
      <x:c r="C46" s="15" t="str"/>
      <x:c r="D46" s="15" t="str"/>
      <x:c r="E46" s="15" t="str"/>
      <x:c r="F46" s="20" t="str"/>
      <x:c r="G46" s="15" t="str"/>
      <x:c r="H46" s="15" t="str"/>
      <x:c r="I46" s="15" t="str"/>
      <x:c r="J46" s="15" t="str"/>
      <x:c r="K46" s="15" t="str"/>
    </x:row>
    <x:row r="47">
      <x:c r="A47" s="15" t="str"/>
      <x:c r="B47" s="15" t="str"/>
      <x:c r="C47" s="15" t="str"/>
      <x:c r="D47" s="15" t="str"/>
      <x:c r="E47" s="15" t="str"/>
      <x:c r="F47" s="20" t="str"/>
      <x:c r="G47" s="15" t="str"/>
      <x:c r="H47" s="15" t="str"/>
      <x:c r="I47" s="15" t="str"/>
      <x:c r="J47" s="15" t="str"/>
      <x:c r="K47" s="15" t="str"/>
    </x:row>
    <x:row r="48">
      <x:c r="A48" s="15" t="str"/>
      <x:c r="B48" s="15" t="str"/>
      <x:c r="C48" s="15" t="str"/>
      <x:c r="D48" s="15" t="str"/>
      <x:c r="E48" s="15" t="str"/>
      <x:c r="F48" s="20" t="str"/>
      <x:c r="G48" s="15" t="str"/>
      <x:c r="H48" s="15" t="str"/>
      <x:c r="I48" s="15" t="str"/>
      <x:c r="J48" s="15" t="str"/>
      <x:c r="K48" s="15" t="str"/>
    </x:row>
    <x:row r="49">
      <x:c r="A49" s="15" t="str"/>
      <x:c r="B49" s="15" t="str"/>
      <x:c r="C49" s="15" t="str"/>
      <x:c r="D49" s="15" t="str"/>
      <x:c r="E49" s="15" t="str"/>
      <x:c r="F49" s="20" t="str"/>
      <x:c r="G49" s="15" t="str"/>
      <x:c r="H49" s="15" t="str"/>
      <x:c r="I49" s="15" t="str"/>
      <x:c r="J49" s="15" t="str"/>
      <x:c r="K49" s="15" t="str"/>
    </x:row>
    <x:row r="50">
      <x:c r="A50" s="15" t="str"/>
      <x:c r="B50" s="15" t="str"/>
      <x:c r="C50" s="15" t="str"/>
      <x:c r="D50" s="15" t="str"/>
      <x:c r="E50" s="15" t="str"/>
      <x:c r="F50" s="20" t="str"/>
      <x:c r="G50" s="15" t="str"/>
      <x:c r="H50" s="15" t="str"/>
      <x:c r="I50" s="15" t="str"/>
      <x:c r="J50" s="15" t="str"/>
      <x:c r="K50" s="15" t="str"/>
    </x:row>
    <x:row r="51">
      <x:c r="A51" s="15" t="str"/>
      <x:c r="B51" s="15" t="str"/>
      <x:c r="C51" s="15" t="str"/>
      <x:c r="D51" s="15" t="str"/>
      <x:c r="E51" s="15" t="str"/>
      <x:c r="F51" s="20" t="str"/>
      <x:c r="G51" s="15" t="str"/>
      <x:c r="H51" s="15" t="str"/>
      <x:c r="I51" s="15" t="str"/>
      <x:c r="J51" s="15" t="str"/>
      <x:c r="K51" s="15" t="str"/>
    </x:row>
    <x:row r="52">
      <x:c r="A52" s="15" t="str"/>
      <x:c r="B52" s="15" t="str"/>
      <x:c r="C52" s="15" t="str"/>
      <x:c r="D52" s="15" t="str"/>
      <x:c r="E52" s="15" t="str"/>
      <x:c r="F52" s="20" t="str"/>
      <x:c r="G52" s="15" t="str"/>
      <x:c r="H52" s="15" t="str"/>
      <x:c r="I52" s="15" t="str"/>
      <x:c r="J52" s="15" t="str"/>
      <x:c r="K52" s="15" t="str"/>
    </x:row>
    <x:row r="53">
      <x:c r="A53" s="15" t="str"/>
      <x:c r="B53" s="15" t="str"/>
      <x:c r="C53" s="15" t="str"/>
      <x:c r="D53" s="15" t="str"/>
      <x:c r="E53" s="15" t="str"/>
      <x:c r="F53" s="20" t="str"/>
      <x:c r="G53" s="15" t="str"/>
      <x:c r="H53" s="15" t="str"/>
      <x:c r="I53" s="15" t="str"/>
      <x:c r="J53" s="15" t="str"/>
      <x:c r="K53" s="15" t="str"/>
    </x:row>
    <x:row r="54">
      <x:c r="A54" s="15" t="str"/>
      <x:c r="B54" s="15" t="str"/>
      <x:c r="C54" s="15" t="str"/>
      <x:c r="D54" s="15" t="str"/>
      <x:c r="E54" s="15" t="str"/>
      <x:c r="F54" s="20" t="str"/>
      <x:c r="G54" s="15" t="str"/>
      <x:c r="H54" s="15" t="str"/>
      <x:c r="I54" s="15" t="str"/>
      <x:c r="J54" s="15" t="str"/>
      <x:c r="K54" s="15" t="str"/>
    </x:row>
    <x:row r="55">
      <x:c r="A55" s="15" t="str"/>
      <x:c r="B55" s="15" t="str"/>
      <x:c r="C55" s="15" t="str"/>
      <x:c r="D55" s="15" t="str"/>
      <x:c r="E55" s="15" t="str"/>
      <x:c r="F55" s="20" t="str"/>
      <x:c r="G55" s="15" t="str"/>
      <x:c r="H55" s="15" t="str"/>
      <x:c r="I55" s="15" t="str"/>
      <x:c r="J55" s="15" t="str"/>
      <x:c r="K55" s="15" t="str"/>
    </x:row>
    <x:row r="56">
      <x:c r="A56" s="15" t="str"/>
      <x:c r="B56" s="15" t="str"/>
      <x:c r="C56" s="15" t="str"/>
      <x:c r="D56" s="15" t="str"/>
      <x:c r="E56" s="15" t="str"/>
      <x:c r="F56" s="20" t="str"/>
      <x:c r="G56" s="15" t="str"/>
      <x:c r="H56" s="15" t="str"/>
      <x:c r="I56" s="15" t="str"/>
      <x:c r="J56" s="15" t="str"/>
      <x:c r="K56" s="15" t="str"/>
    </x:row>
    <x:row r="57">
      <x:c r="A57" s="15" t="str"/>
      <x:c r="B57" s="15" t="str"/>
      <x:c r="C57" s="15" t="str"/>
      <x:c r="D57" s="15" t="str"/>
      <x:c r="E57" s="15" t="str"/>
      <x:c r="F57" s="20" t="str"/>
      <x:c r="G57" s="15" t="str"/>
      <x:c r="H57" s="15" t="str"/>
      <x:c r="I57" s="15" t="str"/>
      <x:c r="J57" s="15" t="str"/>
      <x:c r="K57" s="15" t="str"/>
    </x:row>
    <x:row r="58">
      <x:c r="A58" s="15" t="str"/>
      <x:c r="B58" s="15" t="str"/>
      <x:c r="C58" s="15" t="str"/>
      <x:c r="D58" s="15" t="str"/>
      <x:c r="E58" s="15" t="str"/>
      <x:c r="F58" s="20" t="str"/>
      <x:c r="G58" s="15" t="str"/>
      <x:c r="H58" s="15" t="str"/>
      <x:c r="I58" s="15" t="str"/>
      <x:c r="J58" s="15" t="str"/>
      <x:c r="K58" s="15" t="str"/>
    </x:row>
    <x:row r="59">
      <x:c r="A59" s="15" t="str"/>
      <x:c r="B59" s="15" t="str"/>
      <x:c r="C59" s="15" t="str"/>
      <x:c r="D59" s="15" t="str"/>
      <x:c r="E59" s="15" t="str"/>
      <x:c r="F59" s="20" t="str"/>
      <x:c r="G59" s="15" t="str"/>
      <x:c r="H59" s="15" t="str"/>
      <x:c r="I59" s="15" t="str"/>
      <x:c r="J59" s="15" t="str"/>
      <x:c r="K59" s="15" t="str"/>
    </x:row>
    <x:row r="60">
      <x:c r="A60" s="15" t="str"/>
      <x:c r="B60" s="15" t="str"/>
      <x:c r="C60" s="15" t="str"/>
      <x:c r="D60" s="15" t="str"/>
      <x:c r="E60" s="15" t="str"/>
      <x:c r="F60" s="20" t="str"/>
      <x:c r="G60" s="15" t="str"/>
      <x:c r="H60" s="15" t="str"/>
      <x:c r="I60" s="15" t="str"/>
      <x:c r="J60" s="15" t="str"/>
      <x:c r="K60" s="15" t="str"/>
    </x:row>
    <x:row r="61">
      <x:c r="A61" s="15" t="str"/>
      <x:c r="B61" s="15" t="str"/>
      <x:c r="C61" s="15" t="str"/>
      <x:c r="D61" s="15" t="str"/>
      <x:c r="E61" s="15" t="str"/>
      <x:c r="F61" s="20" t="str"/>
      <x:c r="G61" s="15" t="str"/>
      <x:c r="H61" s="15" t="str"/>
      <x:c r="I61" s="15" t="str"/>
      <x:c r="J61" s="15" t="str"/>
      <x:c r="K61" s="15" t="str"/>
    </x:row>
    <x:row r="62">
      <x:c r="A62" s="15" t="str"/>
      <x:c r="B62" s="15" t="str"/>
      <x:c r="C62" s="15" t="str"/>
      <x:c r="D62" s="15" t="str"/>
      <x:c r="E62" s="15" t="str"/>
      <x:c r="F62" s="20" t="str"/>
      <x:c r="G62" s="15" t="str"/>
      <x:c r="H62" s="15" t="str"/>
      <x:c r="I62" s="15" t="str"/>
      <x:c r="J62" s="15" t="str"/>
      <x:c r="K62" s="15" t="str"/>
    </x:row>
    <x:row r="63">
      <x:c r="A63" s="15" t="str"/>
      <x:c r="B63" s="15" t="str"/>
      <x:c r="C63" s="15" t="str"/>
      <x:c r="D63" s="15" t="str"/>
      <x:c r="E63" s="15" t="str"/>
      <x:c r="F63" s="20" t="str"/>
      <x:c r="G63" s="15" t="str"/>
      <x:c r="H63" s="15" t="str"/>
      <x:c r="I63" s="15" t="str"/>
      <x:c r="J63" s="15" t="str"/>
      <x:c r="K63" s="15" t="str"/>
    </x:row>
    <x:row r="64">
      <x:c r="A64" s="15" t="str"/>
      <x:c r="B64" s="15" t="str"/>
      <x:c r="C64" s="15" t="str"/>
      <x:c r="D64" s="15" t="str"/>
      <x:c r="E64" s="15" t="str"/>
      <x:c r="F64" s="20" t="str"/>
      <x:c r="G64" s="15" t="str"/>
      <x:c r="H64" s="15" t="str"/>
      <x:c r="I64" s="15" t="str"/>
      <x:c r="J64" s="15" t="str"/>
      <x:c r="K64" s="15" t="str"/>
    </x:row>
    <x:row r="65">
      <x:c r="A65" s="15" t="str"/>
      <x:c r="B65" s="15" t="str"/>
      <x:c r="C65" s="15" t="str"/>
      <x:c r="D65" s="15" t="str"/>
      <x:c r="E65" s="15" t="str"/>
      <x:c r="F65" s="20" t="str"/>
      <x:c r="G65" s="15" t="str"/>
      <x:c r="H65" s="15" t="str"/>
      <x:c r="I65" s="15" t="str"/>
      <x:c r="J65" s="15" t="str"/>
      <x:c r="K65" s="15" t="str"/>
    </x:row>
    <x:row r="66">
      <x:c r="A66" s="15" t="str"/>
      <x:c r="B66" s="15" t="str"/>
      <x:c r="C66" s="15" t="str"/>
      <x:c r="D66" s="15" t="str"/>
      <x:c r="E66" s="15" t="str"/>
      <x:c r="F66" s="20" t="str"/>
      <x:c r="G66" s="15" t="str"/>
      <x:c r="H66" s="15" t="str"/>
      <x:c r="I66" s="15" t="str"/>
      <x:c r="J66" s="15" t="str"/>
      <x:c r="K66" s="15" t="str"/>
    </x:row>
    <x:row r="67">
      <x:c r="A67" s="15" t="str"/>
      <x:c r="B67" s="15" t="str"/>
      <x:c r="C67" s="15" t="str"/>
      <x:c r="D67" s="15" t="str"/>
      <x:c r="E67" s="15" t="str"/>
      <x:c r="F67" s="20" t="str"/>
      <x:c r="G67" s="15" t="str"/>
      <x:c r="H67" s="15" t="str"/>
      <x:c r="I67" s="15" t="str"/>
      <x:c r="J67" s="15" t="str"/>
      <x:c r="K67" s="15" t="str"/>
    </x:row>
    <x:row r="68">
      <x:c r="A68" s="15" t="str"/>
      <x:c r="B68" s="15" t="str"/>
      <x:c r="C68" s="15" t="str"/>
      <x:c r="D68" s="15" t="str"/>
      <x:c r="E68" s="15" t="str"/>
      <x:c r="F68" s="20" t="str"/>
      <x:c r="G68" s="15" t="str"/>
      <x:c r="H68" s="15" t="str"/>
      <x:c r="I68" s="15" t="str"/>
      <x:c r="J68" s="15" t="str"/>
      <x:c r="K68" s="15" t="str"/>
    </x:row>
    <x:row r="69">
      <x:c r="A69" s="15" t="str"/>
      <x:c r="B69" s="15" t="str"/>
      <x:c r="C69" s="15" t="str"/>
      <x:c r="D69" s="15" t="str"/>
      <x:c r="E69" s="15" t="str"/>
      <x:c r="F69" s="20" t="str"/>
      <x:c r="G69" s="15" t="str"/>
      <x:c r="H69" s="15" t="str"/>
      <x:c r="I69" s="15" t="str"/>
      <x:c r="J69" s="15" t="str"/>
      <x:c r="K69" s="15" t="str"/>
    </x:row>
    <x:row r="70">
      <x:c r="A70" s="15" t="str"/>
      <x:c r="B70" s="15" t="str"/>
      <x:c r="C70" s="15" t="str"/>
      <x:c r="D70" s="15" t="str"/>
      <x:c r="E70" s="15" t="str"/>
      <x:c r="F70" s="20" t="str"/>
      <x:c r="G70" s="15" t="str"/>
      <x:c r="H70" s="15" t="str"/>
      <x:c r="I70" s="15" t="str"/>
      <x:c r="J70" s="15" t="str"/>
      <x:c r="K70" s="15" t="str"/>
    </x:row>
    <x:row r="71">
      <x:c r="A71" s="15" t="str"/>
      <x:c r="B71" s="15" t="str"/>
      <x:c r="C71" s="15" t="str"/>
      <x:c r="D71" s="15" t="str"/>
      <x:c r="E71" s="15" t="str"/>
      <x:c r="F71" s="20" t="str"/>
      <x:c r="G71" s="15" t="str"/>
      <x:c r="H71" s="15" t="str"/>
      <x:c r="I71" s="15" t="str"/>
      <x:c r="J71" s="15" t="str"/>
      <x:c r="K71" s="15" t="str"/>
    </x:row>
    <x:row r="72">
      <x:c r="A72" s="15" t="str"/>
      <x:c r="B72" s="15" t="str"/>
      <x:c r="C72" s="15" t="str"/>
      <x:c r="D72" s="15" t="str"/>
      <x:c r="E72" s="15" t="str"/>
      <x:c r="F72" s="20" t="str"/>
      <x:c r="G72" s="15" t="str"/>
      <x:c r="H72" s="15" t="str"/>
      <x:c r="I72" s="15" t="str"/>
      <x:c r="J72" s="15" t="str"/>
      <x:c r="K72" s="15" t="str"/>
    </x:row>
    <x:row r="73">
      <x:c r="A73" s="15" t="str"/>
      <x:c r="B73" s="15" t="str"/>
      <x:c r="C73" s="15" t="str"/>
      <x:c r="D73" s="15" t="str"/>
      <x:c r="E73" s="15" t="str"/>
      <x:c r="F73" s="20" t="str"/>
      <x:c r="G73" s="15" t="str"/>
      <x:c r="H73" s="15" t="str"/>
      <x:c r="I73" s="15" t="str"/>
      <x:c r="J73" s="15" t="str"/>
      <x:c r="K73" s="15" t="str"/>
    </x:row>
    <x:row r="74">
      <x:c r="A74" s="15" t="str"/>
      <x:c r="B74" s="15" t="str"/>
      <x:c r="C74" s="15" t="str"/>
      <x:c r="D74" s="15" t="str"/>
      <x:c r="E74" s="15" t="str"/>
      <x:c r="F74" s="20" t="str"/>
      <x:c r="G74" s="15" t="str"/>
      <x:c r="H74" s="15" t="str"/>
      <x:c r="I74" s="15" t="str"/>
      <x:c r="J74" s="15" t="str"/>
      <x:c r="K74" s="15" t="str"/>
    </x:row>
    <x:row r="75">
      <x:c r="A75" s="15" t="str"/>
      <x:c r="B75" s="15" t="str"/>
      <x:c r="C75" s="15" t="str"/>
      <x:c r="D75" s="15" t="str"/>
      <x:c r="E75" s="15" t="str"/>
      <x:c r="F75" s="20" t="str"/>
      <x:c r="G75" s="15" t="str"/>
      <x:c r="H75" s="15" t="str"/>
      <x:c r="I75" s="15" t="str"/>
      <x:c r="J75" s="15" t="str"/>
      <x:c r="K75" s="15" t="str"/>
    </x:row>
    <x:row r="76">
      <x:c r="A76" s="15" t="str"/>
      <x:c r="B76" s="15" t="str"/>
      <x:c r="C76" s="15" t="str"/>
      <x:c r="D76" s="15" t="str"/>
      <x:c r="E76" s="15" t="str"/>
      <x:c r="F76" s="20" t="str"/>
      <x:c r="G76" s="15" t="str"/>
      <x:c r="H76" s="15" t="str"/>
      <x:c r="I76" s="15" t="str"/>
      <x:c r="J76" s="15" t="str"/>
      <x:c r="K76" s="15" t="str"/>
    </x:row>
    <x:row r="77">
      <x:c r="A77" s="15" t="str"/>
      <x:c r="B77" s="15" t="str"/>
      <x:c r="C77" s="15" t="str"/>
      <x:c r="D77" s="15" t="str"/>
      <x:c r="E77" s="15" t="str"/>
      <x:c r="F77" s="20" t="str"/>
      <x:c r="G77" s="15" t="str"/>
      <x:c r="H77" s="15" t="str"/>
      <x:c r="I77" s="15" t="str"/>
      <x:c r="J77" s="15" t="str"/>
      <x:c r="K77" s="15" t="str"/>
    </x:row>
    <x:row r="78">
      <x:c r="A78" s="15" t="str"/>
      <x:c r="B78" s="15" t="str"/>
      <x:c r="C78" s="15" t="str"/>
      <x:c r="D78" s="15" t="str"/>
      <x:c r="E78" s="15" t="str"/>
      <x:c r="F78" s="20" t="str"/>
      <x:c r="G78" s="15" t="str"/>
      <x:c r="H78" s="15" t="str"/>
      <x:c r="I78" s="15" t="str"/>
      <x:c r="J78" s="15" t="str"/>
      <x:c r="K78" s="15" t="str"/>
    </x:row>
    <x:row r="79">
      <x:c r="A79" s="15" t="str"/>
      <x:c r="B79" s="15" t="str"/>
      <x:c r="C79" s="15" t="str"/>
      <x:c r="D79" s="15" t="str"/>
      <x:c r="E79" s="15" t="str"/>
      <x:c r="F79" s="20" t="str"/>
      <x:c r="G79" s="15" t="str"/>
      <x:c r="H79" s="15" t="str"/>
      <x:c r="I79" s="15" t="str"/>
      <x:c r="J79" s="15" t="str"/>
      <x:c r="K79" s="15" t="str"/>
    </x:row>
    <x:row r="80">
      <x:c r="A80" s="15" t="str"/>
      <x:c r="B80" s="15" t="str"/>
      <x:c r="C80" s="15" t="str"/>
      <x:c r="D80" s="15" t="str"/>
      <x:c r="E80" s="15" t="str"/>
      <x:c r="F80" s="20" t="str"/>
      <x:c r="G80" s="15" t="str"/>
      <x:c r="H80" s="15" t="str"/>
      <x:c r="I80" s="15" t="str"/>
      <x:c r="J80" s="15" t="str"/>
      <x:c r="K80" s="15" t="str"/>
    </x:row>
    <x:row r="81">
      <x:c r="A81" s="15" t="str"/>
      <x:c r="B81" s="15" t="str"/>
      <x:c r="C81" s="15" t="str"/>
      <x:c r="D81" s="15" t="str"/>
      <x:c r="E81" s="15" t="str"/>
      <x:c r="F81" s="20" t="str"/>
      <x:c r="G81" s="15" t="str"/>
      <x:c r="H81" s="15" t="str"/>
      <x:c r="I81" s="15" t="str"/>
      <x:c r="J81" s="15" t="str"/>
      <x:c r="K81" s="15" t="str"/>
    </x:row>
    <x:row r="82">
      <x:c r="A82" s="15" t="str"/>
      <x:c r="B82" s="15" t="str"/>
      <x:c r="C82" s="15" t="str"/>
      <x:c r="D82" s="15" t="str"/>
      <x:c r="E82" s="15" t="str"/>
      <x:c r="F82" s="20" t="str"/>
      <x:c r="G82" s="15" t="str"/>
      <x:c r="H82" s="15" t="str"/>
      <x:c r="I82" s="15" t="str"/>
      <x:c r="J82" s="15" t="str"/>
      <x:c r="K82" s="15" t="str"/>
    </x:row>
    <x:row r="83">
      <x:c r="A83" s="15" t="str"/>
      <x:c r="B83" s="15" t="str"/>
      <x:c r="C83" s="15" t="str"/>
      <x:c r="D83" s="15" t="str"/>
      <x:c r="E83" s="15" t="str"/>
      <x:c r="F83" s="20" t="str"/>
      <x:c r="G83" s="15" t="str"/>
      <x:c r="H83" s="15" t="str"/>
      <x:c r="I83" s="15" t="str"/>
      <x:c r="J83" s="15" t="str"/>
      <x:c r="K83" s="15" t="str"/>
    </x:row>
    <x:row r="84">
      <x:c r="A84" s="15" t="str"/>
      <x:c r="B84" s="15" t="str"/>
      <x:c r="C84" s="15" t="str"/>
      <x:c r="D84" s="15" t="str"/>
      <x:c r="E84" s="15" t="str"/>
      <x:c r="F84" s="20" t="str"/>
      <x:c r="G84" s="15" t="str"/>
      <x:c r="H84" s="15" t="str"/>
      <x:c r="I84" s="15" t="str"/>
      <x:c r="J84" s="15" t="str"/>
      <x:c r="K84" s="15" t="str"/>
    </x:row>
    <x:row r="85">
      <x:c r="A85" s="15" t="str"/>
      <x:c r="B85" s="15" t="str"/>
      <x:c r="C85" s="15" t="str"/>
      <x:c r="D85" s="15" t="str"/>
      <x:c r="E85" s="15" t="str"/>
      <x:c r="F85" s="20" t="str"/>
      <x:c r="G85" s="15" t="str"/>
      <x:c r="H85" s="15" t="str"/>
      <x:c r="I85" s="15" t="str"/>
      <x:c r="J85" s="15" t="str"/>
      <x:c r="K85" s="15" t="str"/>
    </x:row>
    <x:row r="86">
      <x:c r="A86" s="15" t="str"/>
      <x:c r="B86" s="15" t="str"/>
      <x:c r="C86" s="15" t="str"/>
      <x:c r="D86" s="15" t="str"/>
      <x:c r="E86" s="15" t="str"/>
      <x:c r="F86" s="20" t="str"/>
      <x:c r="G86" s="15" t="str"/>
      <x:c r="H86" s="15" t="str"/>
      <x:c r="I86" s="15" t="str"/>
      <x:c r="J86" s="15" t="str"/>
      <x:c r="K86" s="15" t="str"/>
    </x:row>
    <x:row r="87">
      <x:c r="A87" s="15" t="str"/>
      <x:c r="B87" s="15" t="str"/>
      <x:c r="C87" s="15" t="str"/>
      <x:c r="D87" s="15" t="str"/>
      <x:c r="E87" s="15" t="str"/>
      <x:c r="F87" s="20" t="str"/>
      <x:c r="G87" s="15" t="str"/>
      <x:c r="H87" s="15" t="str"/>
      <x:c r="I87" s="15" t="str"/>
      <x:c r="J87" s="15" t="str"/>
      <x:c r="K87" s="15" t="str"/>
    </x:row>
    <x:row r="88">
      <x:c r="A88" s="15" t="str"/>
      <x:c r="B88" s="15" t="str"/>
      <x:c r="C88" s="15" t="str"/>
      <x:c r="D88" s="15" t="str"/>
      <x:c r="E88" s="15" t="str"/>
      <x:c r="F88" s="20" t="str"/>
      <x:c r="G88" s="15" t="str"/>
      <x:c r="H88" s="15" t="str"/>
      <x:c r="I88" s="15" t="str"/>
      <x:c r="J88" s="15" t="str"/>
      <x:c r="K88" s="15" t="str"/>
    </x:row>
    <x:row r="89">
      <x:c r="A89" s="15" t="str"/>
      <x:c r="B89" s="15" t="str"/>
      <x:c r="C89" s="15" t="str"/>
      <x:c r="D89" s="15" t="str"/>
      <x:c r="E89" s="15" t="str"/>
      <x:c r="F89" s="20" t="str"/>
      <x:c r="G89" s="15" t="str"/>
      <x:c r="H89" s="15" t="str"/>
      <x:c r="I89" s="15" t="str"/>
      <x:c r="J89" s="15" t="str"/>
      <x:c r="K89" s="15" t="str"/>
    </x:row>
    <x:row r="90">
      <x:c r="A90" s="15" t="str"/>
      <x:c r="B90" s="15" t="str"/>
      <x:c r="C90" s="15" t="str"/>
      <x:c r="D90" s="15" t="str"/>
      <x:c r="E90" s="15" t="str"/>
      <x:c r="F90" s="20" t="str"/>
      <x:c r="G90" s="15" t="str"/>
      <x:c r="H90" s="15" t="str"/>
      <x:c r="I90" s="15" t="str"/>
      <x:c r="J90" s="15" t="str"/>
      <x:c r="K90" s="15" t="str"/>
    </x:row>
    <x:row r="91">
      <x:c r="A91" s="15" t="str"/>
      <x:c r="B91" s="15" t="str"/>
      <x:c r="C91" s="15" t="str"/>
      <x:c r="D91" s="15" t="str"/>
      <x:c r="E91" s="15" t="str"/>
      <x:c r="F91" s="20" t="str"/>
      <x:c r="G91" s="15" t="str"/>
      <x:c r="H91" s="15" t="str"/>
      <x:c r="I91" s="15" t="str"/>
      <x:c r="J91" s="15" t="str"/>
      <x:c r="K91" s="15" t="str"/>
    </x:row>
    <x:row r="92">
      <x:c r="A92" s="15" t="str"/>
      <x:c r="B92" s="15" t="str"/>
      <x:c r="C92" s="15" t="str"/>
      <x:c r="D92" s="15" t="str"/>
      <x:c r="E92" s="15" t="str"/>
      <x:c r="F92" s="20" t="str"/>
      <x:c r="G92" s="15" t="str"/>
      <x:c r="H92" s="15" t="str"/>
      <x:c r="I92" s="15" t="str"/>
      <x:c r="J92" s="15" t="str"/>
      <x:c r="K92" s="15" t="str"/>
    </x:row>
    <x:row r="93">
      <x:c r="A93" s="15" t="str"/>
      <x:c r="B93" s="15" t="str"/>
      <x:c r="C93" s="15" t="str"/>
      <x:c r="D93" s="15" t="str"/>
      <x:c r="E93" s="15" t="str"/>
      <x:c r="F93" s="20" t="str"/>
      <x:c r="G93" s="15" t="str"/>
      <x:c r="H93" s="15" t="str"/>
      <x:c r="I93" s="15" t="str"/>
      <x:c r="J93" s="15" t="str"/>
      <x:c r="K93" s="15" t="str"/>
    </x:row>
    <x:row r="94">
      <x:c r="A94" s="15" t="str"/>
      <x:c r="B94" s="15" t="str"/>
      <x:c r="C94" s="15" t="str"/>
      <x:c r="D94" s="15" t="str"/>
      <x:c r="E94" s="15" t="str"/>
      <x:c r="F94" s="20" t="str"/>
      <x:c r="G94" s="15" t="str"/>
      <x:c r="H94" s="15" t="str"/>
      <x:c r="I94" s="15" t="str"/>
      <x:c r="J94" s="15" t="str"/>
      <x:c r="K94" s="15" t="str"/>
    </x:row>
    <x:row r="95">
      <x:c r="A95" s="15" t="str"/>
      <x:c r="B95" s="15" t="str"/>
      <x:c r="C95" s="15" t="str"/>
      <x:c r="D95" s="15" t="str"/>
      <x:c r="E95" s="15" t="str"/>
      <x:c r="F95" s="20" t="str"/>
      <x:c r="G95" s="15" t="str"/>
      <x:c r="H95" s="15" t="str"/>
      <x:c r="I95" s="15" t="str"/>
      <x:c r="J95" s="15" t="str"/>
      <x:c r="K95" s="15" t="str"/>
    </x:row>
    <x:row r="96">
      <x:c r="A96" s="15" t="str"/>
      <x:c r="B96" s="15" t="str"/>
      <x:c r="C96" s="15" t="str"/>
      <x:c r="D96" s="15" t="str"/>
      <x:c r="E96" s="15" t="str"/>
      <x:c r="F96" s="20" t="str"/>
      <x:c r="G96" s="15" t="str"/>
      <x:c r="H96" s="15" t="str"/>
      <x:c r="I96" s="15" t="str"/>
      <x:c r="J96" s="15" t="str"/>
      <x:c r="K96" s="15" t="str"/>
    </x:row>
    <x:row r="97">
      <x:c r="A97" s="15" t="str"/>
      <x:c r="B97" s="15" t="str"/>
      <x:c r="C97" s="15" t="str"/>
      <x:c r="D97" s="15" t="str"/>
      <x:c r="E97" s="15" t="str"/>
      <x:c r="F97" s="20" t="str"/>
      <x:c r="G97" s="15" t="str"/>
      <x:c r="H97" s="15" t="str"/>
      <x:c r="I97" s="15" t="str"/>
      <x:c r="J97" s="15" t="str"/>
      <x:c r="K97" s="15" t="str"/>
    </x:row>
    <x:row r="98">
      <x:c r="A98" s="15" t="str"/>
      <x:c r="B98" s="15" t="str"/>
      <x:c r="C98" s="15" t="str"/>
      <x:c r="D98" s="15" t="str"/>
      <x:c r="E98" s="15" t="str"/>
      <x:c r="F98" s="20" t="str"/>
      <x:c r="G98" s="15" t="str"/>
      <x:c r="H98" s="15" t="str"/>
      <x:c r="I98" s="15" t="str"/>
      <x:c r="J98" s="15" t="str"/>
      <x:c r="K98" s="15" t="str"/>
    </x:row>
    <x:row r="99">
      <x:c r="A99" s="15" t="str"/>
      <x:c r="B99" s="15" t="str"/>
      <x:c r="C99" s="15" t="str"/>
      <x:c r="D99" s="15" t="str"/>
      <x:c r="E99" s="15" t="str"/>
      <x:c r="F99" s="20" t="str"/>
      <x:c r="G99" s="15" t="str"/>
      <x:c r="H99" s="15" t="str"/>
      <x:c r="I99" s="15" t="str"/>
      <x:c r="J99" s="15" t="str"/>
      <x:c r="K99" s="15" t="str"/>
    </x:row>
    <x:row r="100">
      <x:c r="A100" s="15" t="str"/>
      <x:c r="B100" s="15" t="str"/>
      <x:c r="C100" s="15" t="str"/>
      <x:c r="D100" s="15" t="str"/>
      <x:c r="E100" s="15" t="str"/>
      <x:c r="F100" s="20" t="str"/>
      <x:c r="G100" s="15" t="str"/>
      <x:c r="H100" s="15" t="str"/>
      <x:c r="I100" s="15" t="str"/>
      <x:c r="J100" s="15" t="str"/>
      <x:c r="K100" s="15" t="str"/>
    </x:row>
    <x:row r="101">
      <x:c r="A101" s="15" t="str"/>
      <x:c r="B101" s="15" t="str"/>
      <x:c r="C101" s="15" t="str"/>
      <x:c r="D101" s="15" t="str"/>
      <x:c r="E101" s="15" t="str"/>
      <x:c r="F101" s="20" t="str"/>
      <x:c r="G101" s="15" t="str"/>
      <x:c r="H101" s="15" t="str"/>
      <x:c r="I101" s="15" t="str"/>
      <x:c r="J101" s="15" t="str"/>
      <x:c r="K101" s="15" t="str"/>
    </x:row>
    <x:row r="102">
      <x:c r="A102" s="15" t="str"/>
      <x:c r="B102" s="15" t="str"/>
      <x:c r="C102" s="15" t="str"/>
      <x:c r="D102" s="15" t="str"/>
      <x:c r="E102" s="15" t="str"/>
      <x:c r="F102" s="20" t="str"/>
      <x:c r="G102" s="15" t="str"/>
      <x:c r="H102" s="15" t="str"/>
      <x:c r="I102" s="15" t="str"/>
      <x:c r="J102" s="15" t="str"/>
      <x:c r="K102" s="15" t="str"/>
    </x:row>
    <x:row r="103">
      <x:c r="A103" s="15" t="str"/>
      <x:c r="B103" s="15" t="str"/>
      <x:c r="C103" s="15" t="str"/>
      <x:c r="D103" s="15" t="str"/>
      <x:c r="E103" s="15" t="str"/>
      <x:c r="F103" s="20" t="str"/>
      <x:c r="G103" s="15" t="str"/>
      <x:c r="H103" s="15" t="str"/>
      <x:c r="I103" s="15" t="str"/>
      <x:c r="J103" s="15" t="str"/>
      <x:c r="K103" s="15" t="str"/>
    </x:row>
    <x:row r="104">
      <x:c r="A104" s="15" t="str"/>
      <x:c r="B104" s="15" t="str"/>
      <x:c r="C104" s="15" t="str"/>
      <x:c r="D104" s="15" t="str"/>
      <x:c r="E104" s="15" t="str"/>
      <x:c r="F104" s="20" t="str"/>
      <x:c r="G104" s="15" t="str"/>
      <x:c r="H104" s="15" t="str"/>
      <x:c r="I104" s="15" t="str"/>
      <x:c r="J104" s="15" t="str"/>
      <x:c r="K104" s="15" t="str"/>
    </x:row>
  </x:sheetData>
  <x:mergeCells>
    <x:mergeCell ref="A1:K1"/>
    <x:mergeCell ref="A2:K2"/>
  </x:mergeCells>
  <x:conditionalFormatting sqref="H5:H104">
    <x:cfRule type="containsText" dxfId="58" priority="1" operator="containsText" text="Complete"/>
    <x:cfRule type="containsText" dxfId="59" priority="2" operator="containsText" text="Blocked"/>
    <x:cfRule type="containsText" dxfId="60" priority="3" operator="containsText" text="At Risk"/>
    <x:cfRule type="containsText" dxfId="61" priority="4" operator="containsText" text="In Progress"/>
  </x:conditionalFormatting>
  <x:conditionalFormatting sqref="I5:I104">
    <x:cfRule type="containsText" dxfId="62" priority="5" operator="containsText" text="High"/>
    <x:cfRule type="containsText" dxfId="63" priority="6" operator="containsText" text="Medium"/>
  </x:conditionalFormatting>
  <x:dataValidations count="3">
    <x:dataValidation type="list" sqref="C5:C104">
      <x:formula1>'Assumptions'!$W$27:$W$33</x:formula1>
    </x:dataValidation>
    <x:dataValidation type="list" sqref="H5:H104">
      <x:formula1>'Assumptions'!$U$27:$U$34</x:formula1>
    </x:dataValidation>
    <x:dataValidation type="list" sqref="I5:I104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29866c5c1a4d29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2" hidden="0" customWidth="1"/>
    <x:col min="3" max="3" width="34" hidden="0" customWidth="1"/>
    <x:col min="4" max="4" width="24" hidden="0" customWidth="1"/>
    <x:col min="5" max="5" width="16" hidden="0" customWidth="1"/>
    <x:col min="6" max="6" width="46" hidden="0" customWidth="1"/>
  </x:cols>
  <x:sheetData>
    <x:row r="1" ht="30" customHeight="1">
      <x:c r="A1" s="38" t="str">
        <x:v>Brad Readiness</x:v>
      </x:c>
      <x:c r="B1" s="38" t="str">
        <x:v>Brad Readiness</x:v>
      </x:c>
      <x:c r="C1" s="38" t="str">
        <x:v>Brad Readiness</x:v>
      </x:c>
      <x:c r="D1" s="38" t="str">
        <x:v>Brad Readiness</x:v>
      </x:c>
      <x:c r="E1" s="38" t="str">
        <x:v>Brad Readiness</x:v>
      </x:c>
      <x:c r="F1" s="38" t="str">
        <x:v>Brad Readiness</x:v>
      </x:c>
    </x:row>
    <x:row r="2" ht="34" customHeight="1">
      <x:c r="A2" s="39" t="str">
        <x:v>Use this page to prepare direct answers for the questions management is likely to ask.</x:v>
      </x:c>
      <x:c r="B2" s="39" t="str">
        <x:v>Use this page to prepare direct answers for the questions management is likely to ask.</x:v>
      </x:c>
      <x:c r="C2" s="39" t="str">
        <x:v>Use this page to prepare direct answers for the questions management is likely to ask.</x:v>
      </x:c>
      <x:c r="D2" s="39" t="str">
        <x:v>Use this page to prepare direct answers for the questions management is likely to ask.</x:v>
      </x:c>
      <x:c r="E2" s="39" t="str">
        <x:v>Use this page to prepare direct answers for the questions management is likely to ask.</x:v>
      </x:c>
      <x:c r="F2" s="39" t="str">
        <x:v>Use this page to prepare direct answers for the questions management is likely to ask.</x:v>
      </x:c>
    </x:row>
    <x:row r="3">
      <x:c r="A3" s="40"/>
      <x:c r="B3" s="40"/>
      <x:c r="C3" s="40"/>
      <x:c r="D3" s="40"/>
      <x:c r="E3" s="40"/>
      <x:c r="F3" s="40"/>
    </x:row>
    <x:row r="4" ht="34" customHeight="1">
      <x:c r="A4" s="44" t="str">
        <x:v>Question</x:v>
      </x:c>
      <x:c r="B4" s="44" t="str">
        <x:v>Short Answer</x:v>
      </x:c>
      <x:c r="C4" s="44" t="str">
        <x:v>Evidence / Workbook Tab</x:v>
      </x:c>
      <x:c r="D4" s="44" t="str">
        <x:v>Owner</x:v>
      </x:c>
      <x:c r="E4" s="44" t="str">
        <x:v>Status</x:v>
      </x:c>
      <x:c r="F4" s="44" t="str">
        <x:v>Notes</x:v>
      </x:c>
    </x:row>
    <x:row r="5">
      <x:c r="A5" s="15" t="str">
        <x:v>Where are we now?</x:v>
      </x:c>
      <x:c r="B5" s="15" t="str">
        <x:v>Sprint 17 recovery/re-baseline: plan, owners, inventory, dependencies, and PtB package are being formalized.</x:v>
      </x:c>
      <x:c r="C5" s="15" t="str">
        <x:v>Executive Frame / Milestones</x:v>
      </x:c>
      <x:c r="D5" s="15" t="str">
        <x:v>CVIS / Leadership</x:v>
      </x:c>
      <x:c r="E5" s="15" t="str">
        <x:v>In Progress</x:v>
      </x:c>
      <x:c r="F5" s="15" t="str"/>
    </x:row>
    <x:row r="6">
      <x:c r="A6" s="15" t="str">
        <x:v>Are we red, yellow, or green?</x:v>
      </x:c>
      <x:c r="B6" s="15" t="str">
        <x:v>Overall status is Yellow with specific Red items for missed or uncommitted environment dates.</x:v>
      </x:c>
      <x:c r="C6" s="15" t="str">
        <x:v>At-Risk Register</x:v>
      </x:c>
      <x:c r="D6" s="15" t="str">
        <x:v>CVIS</x:v>
      </x:c>
      <x:c r="E6" s="15" t="str">
        <x:v>In Progress</x:v>
      </x:c>
      <x:c r="F6" s="15" t="str"/>
    </x:row>
    <x:row r="7">
      <x:c r="A7" s="15" t="str">
        <x:v>Why are we in that status?</x:v>
      </x:c>
      <x:c r="B7" s="15" t="str">
        <x:v>The path changed from legacy/Heritage assumptions to NGDC-ready modernization on Unity, with external platform dependencies and PtB clarification.</x:v>
      </x:c>
      <x:c r="C7" s="15" t="str">
        <x:v>Recovery Language / At-Risk Register</x:v>
      </x:c>
      <x:c r="D7" s="15" t="str">
        <x:v>CVIS</x:v>
      </x:c>
      <x:c r="E7" s="15" t="str">
        <x:v>In Progress</x:v>
      </x:c>
      <x:c r="F7" s="15" t="str"/>
    </x:row>
    <x:row r="8">
      <x:c r="A8" s="15" t="str">
        <x:v>What changed with PtB?</x:v>
      </x:c>
      <x:c r="B8" s="15" t="str">
        <x:v>PtB was expected by the end of July and was missed. We now understand PtB needs a credible target-state architecture and modernization plan; execution work proceeds after approval within the approved window.</x:v>
      </x:c>
      <x:c r="C8" s="15" t="str">
        <x:v>Brad Readiness / At-Risk Register</x:v>
      </x:c>
      <x:c r="D8" s="15" t="str">
        <x:v>Architecture / CVIS</x:v>
      </x:c>
      <x:c r="E8" s="15" t="str">
        <x:v>Needs Validation</x:v>
      </x:c>
      <x:c r="F8" s="15" t="str">
        <x:v>Need named PtB owner and target approval slot.</x:v>
      </x:c>
    </x:row>
    <x:row r="9">
      <x:c r="A9" s="15" t="str">
        <x:v>What date are we targeting next?</x:v>
      </x:c>
      <x:c r="B9" s="15" t="str">
        <x:v>Next near-term targets are rationalization complete, PtB-ready package, and Sprint 18 platform foundation.</x:v>
      </x:c>
      <x:c r="C9" s="15" t="str">
        <x:v>Milestones / Sprint Deliverables</x:v>
      </x:c>
      <x:c r="D9" s="15" t="str">
        <x:v>CVIS</x:v>
      </x:c>
      <x:c r="E9" s="15" t="str">
        <x:v>In Progress</x:v>
      </x:c>
      <x:c r="F9" s="15" t="str">
        <x:v>Final revised non-prod/pre-prod/prod dates still need validation.</x:v>
      </x:c>
    </x:row>
    <x:row r="10">
      <x:c r="A10" s="15" t="str">
        <x:v>What evidence supports the date?</x:v>
      </x:c>
      <x:c r="B10" s="15" t="str">
        <x:v>Evidence will be app inventory, target-state architecture, dependency register, onboarding order, and environment readiness proof.</x:v>
      </x:c>
      <x:c r="C10" s="15" t="str">
        <x:v>Application Inventory / Dependencies / Platform Onboarding</x:v>
      </x:c>
      <x:c r="D10" s="15" t="str">
        <x:v>CVIS</x:v>
      </x:c>
      <x:c r="E10" s="15" t="str">
        <x:v>In Progress</x:v>
      </x:c>
      <x:c r="F10" s="15" t="str"/>
    </x:row>
    <x:row r="11">
      <x:c r="A11" s="15" t="str">
        <x:v>Which apps must move first?</x:v>
      </x:c>
      <x:c r="B11" s="15" t="str">
        <x:v>Phase 1 should prioritize customer-facing/user-facing or day-one operational continuity functions.</x:v>
      </x:c>
      <x:c r="C11" s="15" t="str">
        <x:v>Application Inventory</x:v>
      </x:c>
      <x:c r="D11" s="15" t="str">
        <x:v>CVIS Owners</x:v>
      </x:c>
      <x:c r="E11" s="15" t="str">
        <x:v>Needs Validation</x:v>
      </x:c>
      <x:c r="F11" s="15" t="str">
        <x:v>Owner validation required.</x:v>
      </x:c>
    </x:row>
    <x:row r="12">
      <x:c r="A12" s="15" t="str">
        <x:v>Which apps are customer-facing vs internal?</x:v>
      </x:c>
      <x:c r="B12" s="15" t="str">
        <x:v>The inventory separates user-facing support from internal/vault-support components so not every tool becomes the same executive migration problem.</x:v>
      </x:c>
      <x:c r="C12" s="15" t="str">
        <x:v>Application Inventory</x:v>
      </x:c>
      <x:c r="D12" s="15" t="str">
        <x:v>CVIS Owners</x:v>
      </x:c>
      <x:c r="E12" s="15" t="str">
        <x:v>Needs Validation</x:v>
      </x:c>
      <x:c r="F12" s="15" t="str"/>
    </x:row>
    <x:row r="13">
      <x:c r="A13" s="15" t="str">
        <x:v>What can be deprecated?</x:v>
      </x:c>
      <x:c r="B13" s="15" t="str">
        <x:v>Inactive tools or no-active-move candidates are marked for deprecation review, not automatic modernization.</x:v>
      </x:c>
      <x:c r="C13" s="15" t="str">
        <x:v>Application Inventory</x:v>
      </x:c>
      <x:c r="D13" s="15" t="str">
        <x:v>CVIS Owners</x:v>
      </x:c>
      <x:c r="E13" s="15" t="str">
        <x:v>Needs Validation</x:v>
      </x:c>
      <x:c r="F13" s="15" t="str"/>
    </x:row>
    <x:row r="14">
      <x:c r="A14" s="15" t="str">
        <x:v>What requires refactoring?</x:v>
      </x:c>
      <x:c r="B14" s="15" t="str">
        <x:v>Phase 1 candidates and core onboarding/API/data-hygiene workflows should be refactored into Unity or folded into shared services.</x:v>
      </x:c>
      <x:c r="C14" s="15" t="str">
        <x:v>Application Inventory / Modernization Platform</x:v>
      </x:c>
      <x:c r="D14" s="15" t="str">
        <x:v>CVIS</x:v>
      </x:c>
      <x:c r="E14" s="15" t="str">
        <x:v>Needs Validation</x:v>
      </x:c>
      <x:c r="F14" s="15" t="str"/>
    </x:row>
    <x:row r="15">
      <x:c r="A15" s="15" t="str">
        <x:v>What is the target-state architecture?</x:v>
      </x:c>
      <x:c r="B15" s="15" t="str">
        <x:v>A reusable CVIS/Unity web-based platform on OCP/Kubernetes with access controls, logging, monitoring, quality gates, and reusable workflow/rules/orchestration patterns.</x:v>
      </x:c>
      <x:c r="C15" s="15" t="str">
        <x:v>Modernization Platform</x:v>
      </x:c>
      <x:c r="D15" s="15" t="str">
        <x:v>Architecture / CVIS</x:v>
      </x:c>
      <x:c r="E15" s="15" t="str">
        <x:v>In Progress</x:v>
      </x:c>
      <x:c r="F15" s="15" t="str"/>
    </x:row>
    <x:row r="16">
      <x:c r="A16" s="15" t="str">
        <x:v>What are the biggest blockers?</x:v>
      </x:c>
      <x:c r="B16" s="15" t="str">
        <x:v>OCP/Kubernetes, Kafka, environment access, NFR approvals, architecture review, and cross-team dependencies.</x:v>
      </x:c>
      <x:c r="C16" s="15" t="str">
        <x:v>At-Risk Register / Dependencies</x:v>
      </x:c>
      <x:c r="D16" s="15" t="str">
        <x:v>External Teams / CVIS</x:v>
      </x:c>
      <x:c r="E16" s="15" t="str">
        <x:v>In Progress</x:v>
      </x:c>
      <x:c r="F16" s="15" t="str"/>
    </x:row>
    <x:row r="17">
      <x:c r="A17" s="15" t="str">
        <x:v>What happens if the revised date slips?</x:v>
      </x:c>
      <x:c r="B17" s="15" t="str">
        <x:v>Use phased rollout and separate customer-facing Phase 1 from BAU/vault-support utilities so one dependency does not stop all progress.</x:v>
      </x:c>
      <x:c r="C17" s="15" t="str">
        <x:v>At-Risk Register / Application Inventory</x:v>
      </x:c>
      <x:c r="D17" s="15" t="str">
        <x:v>Leadership / CVIS</x:v>
      </x:c>
      <x:c r="E17" s="15" t="str">
        <x:v>Needs Decision</x:v>
      </x:c>
      <x:c r="F17" s="15" t="str"/>
    </x:row>
    <x:row r="18">
      <x:c r="A18" s="15" t="str">
        <x:v>What support is needed from leadership?</x:v>
      </x:c>
      <x:c r="B18" s="15" t="str">
        <x:v>Prioritize external onboarding, confirm PtB owner/date, and support fast owner validation of application rationalization.</x:v>
      </x:c>
      <x:c r="C18" s="15" t="str">
        <x:v>At-Risk Register</x:v>
      </x:c>
      <x:c r="D18" s="15" t="str">
        <x:v>Leadership</x:v>
      </x:c>
      <x:c r="E18" s="15" t="str">
        <x:v>Needs Decision</x:v>
      </x:c>
      <x:c r="F18" s="15" t="str"/>
    </x:row>
    <x:row r="19">
      <x:c r="A19" s="15" t="str">
        <x:v>What can be done before end of year?</x:v>
      </x:c>
      <x:c r="B19" s="15" t="str">
        <x:v>Complete rationalization, PtB package, platform foundation, first AI-assisted refactor wave, NFR execution, and non-prod validation depending on dependencies.</x:v>
      </x:c>
      <x:c r="C19" s="15" t="str">
        <x:v>Sprint Deliverables / Milestones</x:v>
      </x:c>
      <x:c r="D19" s="15" t="str">
        <x:v>CVIS</x:v>
      </x:c>
      <x:c r="E19" s="15" t="str">
        <x:v>In Progress</x:v>
      </x:c>
      <x:c r="F19" s="15" t="str"/>
    </x:row>
    <x:row r="20">
      <x:c r="A20" s="15" t="str">
        <x:v>Why is Unity urgent before end of September?</x:v>
      </x:c>
      <x:c r="B20" s="15" t="str">
        <x:v>Legacy apps on older .NET Framework versions, including 4.7-era code, become harder to patch/release after the September window; moving capability to Unity reduces support and release risk.</x:v>
      </x:c>
      <x:c r="C20" s="15" t="str">
        <x:v>At-Risk Register</x:v>
      </x:c>
      <x:c r="D20" s="15" t="str">
        <x:v>CVIS / Architecture</x:v>
      </x:c>
      <x:c r="E20" s="15" t="str">
        <x:v>In Progress</x:v>
      </x:c>
      <x:c r="F20" s="15" t="str">
        <x:v>Need app-level validation of current framework versions.</x:v>
      </x:c>
    </x:row>
    <x:row r="21">
      <x:c r="A21" s="15" t="str">
        <x:v>What is the RSA risk?</x:v>
      </x:c>
      <x:c r="B21" s="15" t="str">
        <x:v>RSA is being retired by end of month; Yasser owns a legacy-app release after 08/25 to remove RSA dependency.</x:v>
      </x:c>
      <x:c r="C21" s="15" t="str">
        <x:v>At-Risk Register / Jira</x:v>
      </x:c>
      <x:c r="D21" s="15" t="str">
        <x:v>Yasser / CVIS</x:v>
      </x:c>
      <x:c r="E21" s="15" t="str">
        <x:v>In Progress</x:v>
      </x:c>
      <x:c r="F21" s="15" t="str">
        <x:v>Need ticket ID and CAB/CHK status.</x:v>
      </x:c>
    </x:row>
    <x:row r="22">
      <x:c r="A22" s="15" t="str">
        <x:v>What operational work can push the schedule?</x:v>
      </x:c>
      <x:c r="B22" s="15" t="str">
        <x:v>CAB/CHK release governance, production INC tickets, and SEV 1-4 response can consume the same people needed for modernization.</x:v>
      </x:c>
      <x:c r="C22" s="15" t="str">
        <x:v>At-Risk Register / Change Log</x:v>
      </x:c>
      <x:c r="D22" s="15" t="str">
        <x:v>CVIS / Production Support</x:v>
      </x:c>
      <x:c r="E22" s="15" t="str">
        <x:v>In Progress</x:v>
      </x:c>
      <x:c r="F22" s="15" t="str">
        <x:v>Track incidents as schedule-impact events.</x:v>
      </x:c>
    </x:row>
    <x:row r="23">
      <x:c r="A23" s="15" t="str">
        <x:v>Are Devin/AI gains included in the dates?</x:v>
      </x:c>
      <x:c r="B23" s="15" t="str">
        <x:v>No. We estimated the work normally because we do not have measured Devin throughput yet. If Devin improves delivery, the timeline will decrease in weekly/sprint reporting rather than starting from an unsupported acceleration factor.</x:v>
      </x:c>
      <x:c r="C23" s="15" t="str">
        <x:v>At-Risk Register / Platform Onboarding</x:v>
      </x:c>
      <x:c r="D23" s="15" t="str">
        <x:v>CVIS</x:v>
      </x:c>
      <x:c r="E23" s="15" t="str">
        <x:v>In Progress</x:v>
      </x:c>
      <x:c r="F23" s="15" t="str"/>
    </x:row>
    <x:row r="24">
      <x:c r="A24" s="15" t="str">
        <x:v>Why are all timelines pushed?</x:v>
      </x:c>
      <x:c r="B24" s="15" t="str">
        <x:v>PtB was a gating milestone expected by end of July and was missed; downstream dates are being re-baselined from that missed gate and the revised Architecture/PtB approval window.</x:v>
      </x:c>
      <x:c r="C24" s="15" t="str">
        <x:v>Executive Dates / At-Risk Register</x:v>
      </x:c>
      <x:c r="D24" s="15" t="str">
        <x:v>CVIS / Architecture</x:v>
      </x:c>
      <x:c r="E24" s="15" t="str">
        <x:v>In Progress</x:v>
      </x:c>
      <x:c r="F24" s="15" t="str"/>
    </x:row>
    <x:row r="25">
      <x:c r="A25" s="15" t="str">
        <x:v>What is the BCP issue?</x:v>
      </x:c>
      <x:c r="B25" s="15" t="str">
        <x:v>The BCP test target will not be met under the revised migration/PtB path, so an exception is needed with the control plan and revised milestones.</x:v>
      </x:c>
      <x:c r="C25" s="15" t="str">
        <x:v>At-Risk Register</x:v>
      </x:c>
      <x:c r="D25" s="15" t="str">
        <x:v>CVIS / Governance</x:v>
      </x:c>
      <x:c r="E25" s="15" t="str">
        <x:v>Needs Decision</x:v>
      </x:c>
      <x:c r="F25" s="15" t="str">
        <x:v>Need owner and exception path.</x:v>
      </x:c>
    </x:row>
    <x:row r="26">
      <x:c r="A26" s="15" t="str">
        <x:v>When do we expect PtB approval?</x:v>
      </x:c>
      <x:c r="B26" s="15" t="str">
        <x:v>Architecture changes are being presented Monday; if revisions are small, approval could be Wednesday through next week, or early Sprint 18 depending on review scheduling.</x:v>
      </x:c>
      <x:c r="C26" s="15" t="str">
        <x:v>Executive Dates / At-Risk Register</x:v>
      </x:c>
      <x:c r="D26" s="15" t="str">
        <x:v>Architecture / CVIS</x:v>
      </x:c>
      <x:c r="E26" s="15" t="str">
        <x:v>Needs Validation</x:v>
      </x:c>
      <x:c r="F26" s="15" t="str">
        <x:v>Availability of Architecture review slot is the uncertainty.</x:v>
      </x:c>
    </x:row>
    <x:row r="27">
      <x:c r="A27" s="15" t="str">
        <x:v>Why have container and Apigee/API requests not already been submitted?</x:v>
      </x:c>
      <x:c r="B27" s="15" t="str">
        <x:v>Those resource requests are gated by PtB approval. The team has prepared the path with Matthew; after Monday architecture review/revisions and PtB approval, the requests can be submitted immediately.</x:v>
      </x:c>
      <x:c r="C27" s="15" t="str">
        <x:v>Dependencies / Milestones / At-Risk Register</x:v>
      </x:c>
      <x:c r="D27" s="15" t="str">
        <x:v>CVIS / Matthew Burger</x:v>
      </x:c>
      <x:c r="E27" s="15" t="str">
        <x:v>In Progress</x:v>
      </x:c>
      <x:c r="F27" s="15" t="str">
        <x:v>This should be framed as a process gate, not lack of preparation.</x:v>
      </x:c>
    </x:row>
    <x:row r="28">
      <x:c r="A28" s="15" t="str">
        <x:v>What is the DB / SSIS impact?</x:v>
      </x:c>
      <x:c r="B28" s="15" t="str">
        <x:v>There are two SSIS consumer packages: one owned by ESAR and one by MCC. CVIS needs to notify both teams and document the go-forward DB API access pattern through Apigee/API; this is coordination, not a core Unity design blocker.</x:v>
      </x:c>
      <x:c r="C28" s="15" t="str">
        <x:v>Dependencies / At-Risk Register</x:v>
      </x:c>
      <x:c r="D28" s="15" t="str">
        <x:v>CVIS / ESAR / MCC</x:v>
      </x:c>
      <x:c r="E28" s="15" t="str">
        <x:v>In Progress</x:v>
      </x:c>
      <x:c r="F28" s="15" t="str">
        <x:v>Capture package owner contacts and confirmation dates.</x:v>
      </x:c>
    </x:row>
    <x:row r="29">
      <x:c r="A29" s="15" t="str">
        <x:v>Does Active/Active block the plan?</x:v>
      </x:c>
      <x:c r="B29" s="15" t="str">
        <x:v>No current blocker identified. Active/Active is covered in the Unity design and should be explained in the architecture documents as part of the target-state readiness story.</x:v>
      </x:c>
      <x:c r="C29" s="15" t="str">
        <x:v>Modernization Platform / Architecture</x:v>
      </x:c>
      <x:c r="D29" s="15" t="str">
        <x:v>CVIS / Architecture</x:v>
      </x:c>
      <x:c r="E29" s="15" t="str">
        <x:v>In Progress</x:v>
      </x:c>
      <x:c r="F29" s="15" t="str">
        <x:v>Validate with Architect/Engineer Monday.</x:v>
      </x:c>
    </x:row>
    <x:row r="30">
      <x:c r="A30" s="15" t="str">
        <x:v>What work is not represented well enough in Jira yet?</x:v>
      </x:c>
      <x:c r="B30" s="15" t="str">
        <x:v>Use Jira Coverage and Ticket Gaps. Existing tickets are delivery evidence; missing tickets, missing estimates, unsplit work, CAB/CHK, INC/SEV, and dependency-blocked items are tracked as gaps with owners and due dates.</x:v>
      </x:c>
      <x:c r="C30" s="15" t="str">
        <x:v>Jira Coverage / Ticket Gaps</x:v>
      </x:c>
      <x:c r="D30" s="15" t="str">
        <x:v>CVIS / Team Owners</x:v>
      </x:c>
      <x:c r="E30" s="15" t="str">
        <x:v>In Progress</x:v>
      </x:c>
      <x:c r="F30" s="15" t="str">
        <x:v>The uploaded Jira bundle is screenshots, so source confidence should be noted until a YAML/CSV export is available.</x:v>
      </x:c>
    </x:row>
    <x:row r="31">
      <x:c r="A31" s="15" t="str">
        <x:v>Can we estimate from the tickets today?</x:v>
      </x:c>
      <x:c r="B31" s="15" t="str">
        <x:v>Partially. Items with ticket, owner, sprint/date, estimate, and dependency have higher confidence. Items missing any of those fields should keep a low/medium estimate confidence and appear in Ticket Gaps.</x:v>
      </x:c>
      <x:c r="C31" s="15" t="str">
        <x:v>Jira Coverage / Ticket Gaps</x:v>
      </x:c>
      <x:c r="D31" s="15" t="str">
        <x:v>CVIS</x:v>
      </x:c>
      <x:c r="E31" s="15" t="str">
        <x:v>Needs Validation</x:v>
      </x:c>
      <x:c r="F31" s="15" t="str">
        <x:v>This protects the plan from pretending weak ticket data is certain.</x:v>
      </x:c>
    </x:row>
  </x:sheetData>
  <x:mergeCells>
    <x:mergeCell ref="A1:F1"/>
    <x:mergeCell ref="A2:F2"/>
  </x:mergeCells>
  <x:conditionalFormatting sqref="E5:E31">
    <x:cfRule type="containsText" dxfId="64" priority="1" operator="containsText" text="Complete"/>
    <x:cfRule type="containsText" dxfId="65" priority="2" operator="containsText" text="Blocked"/>
    <x:cfRule type="containsText" dxfId="66" priority="3" operator="containsText" text="At Risk"/>
    <x:cfRule type="containsText" dxfId="67" priority="4" operator="containsText" text="In Progress"/>
  </x:conditionalFormatting>
  <x:dataValidations count="1">
    <x:dataValidation type="list" sqref="E5:E31">
      <x:formula1>"To do,In Progress,On Hold,Blocked,Done,Waiting External,Deferred,Cancelled,Needs Validation,Needs Decision"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92e2821e0f452f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70" hidden="0" customWidth="1"/>
    <x:col min="4" max="4" width="42" hidden="0" customWidth="1"/>
  </x:cols>
  <x:sheetData>
    <x:row r="1" ht="30" customHeight="1">
      <x:c r="A1" s="38" t="str">
        <x:v>Modernization Platform</x:v>
      </x:c>
      <x:c r="B1" s="38" t="str">
        <x:v>Modernization Platform</x:v>
      </x:c>
      <x:c r="C1" s="38" t="str">
        <x:v>Modernization Platform</x:v>
      </x:c>
      <x:c r="D1" s="38" t="str">
        <x:v>Modernization Platform</x:v>
      </x:c>
    </x:row>
    <x:row r="2" ht="34" customHeight="1">
      <x:c r="A2" s="39" t="str">
        <x:v>Leadership framing for why this is not 42 one-off rewrites: Unity centralizes the reusable modernization work.</x:v>
      </x:c>
      <x:c r="B2" s="39" t="str">
        <x:v>Leadership framing for why this is not 42 one-off rewrites: Unity centralizes the reusable modernization work.</x:v>
      </x:c>
      <x:c r="C2" s="39" t="str">
        <x:v>Leadership framing for why this is not 42 one-off rewrites: Unity centralizes the reusable modernization work.</x:v>
      </x:c>
      <x:c r="D2" s="39" t="str">
        <x:v>Leadership framing for why this is not 42 one-off rewrites: Unity centralizes the reusable modernization work.</x:v>
      </x:c>
    </x:row>
    <x:row r="3">
      <x:c r="A3" s="40"/>
      <x:c r="B3" s="40"/>
      <x:c r="C3" s="40"/>
      <x:c r="D3" s="40"/>
    </x:row>
    <x:row r="4" ht="34" customHeight="1">
      <x:c r="A4" s="44" t="str">
        <x:v>Section</x:v>
      </x:c>
      <x:c r="B4" s="44" t="str">
        <x:v>Message</x:v>
      </x:c>
      <x:c r="C4" s="44" t="str">
        <x:v>Evidence / Detail</x:v>
      </x:c>
      <x:c r="D4" s="44" t="str">
        <x:v>Management Value</x:v>
      </x:c>
    </x:row>
    <x:row r="5">
      <x:c r="A5" s="15" t="str">
        <x:v>Business Problem</x:v>
      </x:c>
      <x:c r="B5" s="15" t="str">
        <x:v>CVIS has 42 legacy applications, tools, DLLs, scripts, services, and support components that cannot all be treated as identical migrations.</x:v>
      </x:c>
      <x:c r="C5" s="15" t="str">
        <x:v>Some are customer-facing, some are internal vault-support utilities, some are DLLs/plugins, and some are shared infrastructure.</x:v>
      </x:c>
      <x:c r="D5" s="15" t="str">
        <x:v>Lets leadership see scope control instead of a vague pile of apps.</x:v>
      </x:c>
    </x:row>
    <x:row r="6">
      <x:c r="A6" s="15" t="str">
        <x:v>Business Risk</x:v>
      </x:c>
      <x:c r="B6" s="15" t="str">
        <x:v>Current architecture duplicates functionality and increases maintenance effort, while older .NET Framework 4.7-era applications create release and support exposure.</x:v>
      </x:c>
      <x:c r="C6" s="15" t="str">
        <x:v>One-off console apps and scripts create repeated NFR, access, deployment, and support work. Legacy runtime constraints mean fixes may be harder to release after the September window.</x:v>
      </x:c>
      <x:c r="D6" s="15" t="str">
        <x:v>Explains why a simple AI rewrite or lift-and-shift is not enough.</x:v>
      </x:c>
    </x:row>
    <x:row r="7">
      <x:c r="A7" s="15" t="str">
        <x:v>Proposed Solution</x:v>
      </x:c>
      <x:c r="B7" s="15" t="str">
        <x:v>Build a reusable Unity modernization platform and fold application behavior into common workflow/rules/orchestration patterns.</x:v>
      </x:c>
      <x:c r="C7" s="15" t="str">
        <x:v>Applications can leverage shared services, vault integration, messaging, logging, monitoring, security, and deployment controls.</x:v>
      </x:c>
      <x:c r="D7" s="15" t="str">
        <x:v>Build once, reuse many times.</x:v>
      </x:c>
    </x:row>
    <x:row r="8">
      <x:c r="A8" s="15" t="str">
        <x:v>Core Capabilities</x:v>
      </x:c>
      <x:c r="B8" s="15" t="str">
        <x:v>Workflow engine, rules engine, orchestration layer, shared services, messaging/Kafka, vault integration, OCP/Kubernetes deployment, built-in NFR compliance.</x:v>
      </x:c>
      <x:c r="C8" s="15" t="str">
        <x:v>These capabilities reduce repeated custom implementation and centralize governance.</x:v>
      </x:c>
      <x:c r="D8" s="15" t="str">
        <x:v>Makes future migrations faster after the first pattern is proven.</x:v>
      </x:c>
    </x:row>
    <x:row r="9">
      <x:c r="A9" s="15" t="str">
        <x:v>Target-State Coverage</x:v>
      </x:c>
      <x:c r="B9" s="15" t="str">
        <x:v>Unity covers the Active/Active pattern, API exposure path, and DB access direction through the architecture rather than through one-off legacy database coupling.</x:v>
      </x:c>
      <x:c r="C9" s="15" t="str">
        <x:v>DB-facing APIs are expected to be handled through the Apigee/API path after PtB. Two current SSIS consumers, ESAR and MCC, require notice and coordination.</x:v>
      </x:c>
      <x:c r="D9" s="15" t="str">
        <x:v>Shows that design risks have an owner and a planned control path.</x:v>
      </x:c>
    </x:row>
    <x:row r="10">
      <x:c r="A10" s="15" t="str">
        <x:v>Execution Strategy</x:v>
      </x:c>
      <x:c r="B10" s="15" t="str">
        <x:v>Separate platform foundation, application refactoring, infrastructure dependencies, vault/CyberArk timing, and leadership reporting into parallel tracks.</x:v>
      </x:c>
      <x:c r="C10" s="15" t="str">
        <x:v>The spreadsheet tracks each track with owners, RYG, blockers, and evidence.</x:v>
      </x:c>
      <x:c r="D10" s="15" t="str">
        <x:v>Turns uncertainty into a managed plan.</x:v>
      </x:c>
    </x:row>
    <x:row r="11">
      <x:c r="A11" s="15" t="str">
        <x:v>Brad-Ready Message</x:v>
      </x:c>
      <x:c r="B11" s="15" t="str">
        <x:v>We are re-baselining CVIS modernization around a reusable Unity platform, separating Phase 1 operational scope from internal support utilities, validating revised NGDC/PtB dates, and tracking red/yellow items with owners, evidence, and recovery actions.</x:v>
      </x:c>
      <x:c r="C11" s="15" t="str">
        <x:v>Use this as the opening narrative.</x:v>
      </x:c>
      <x:c r="D11" s="15" t="str">
        <x:v>Directly answers how we get from red back to green.</x:v>
      </x:c>
    </x:row>
    <x:row r="12">
      <x:c r="A12" s="15"/>
      <x:c r="B12" s="15"/>
      <x:c r="C12" s="15"/>
      <x:c r="D12" s="15"/>
    </x:row>
    <x:row r="13">
      <x:c r="A13" s="15"/>
      <x:c r="B13" s="15"/>
      <x:c r="C13" s="15"/>
      <x:c r="D13" s="15"/>
    </x:row>
    <x:row r="14">
      <x:c r="A14" s="15"/>
      <x:c r="B14" s="15"/>
      <x:c r="C14" s="15"/>
      <x:c r="D14" s="15"/>
    </x:row>
    <x:row r="15">
      <x:c r="A15" s="15"/>
      <x:c r="B15" s="15"/>
      <x:c r="C15" s="15"/>
      <x:c r="D15" s="15"/>
    </x:row>
    <x:row r="16">
      <x:c r="A16" s="15"/>
      <x:c r="B16" s="15"/>
      <x:c r="C16" s="15"/>
      <x:c r="D16" s="15"/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  <x:row r="21">
      <x:c r="A21" s="15"/>
      <x:c r="B21" s="15"/>
      <x:c r="C21" s="15"/>
      <x:c r="D21" s="15"/>
    </x:row>
    <x:row r="22">
      <x:c r="A22" s="15"/>
      <x:c r="B22" s="15"/>
      <x:c r="C22" s="15"/>
      <x:c r="D22" s="15"/>
    </x:row>
    <x:row r="23">
      <x:c r="A23" s="15"/>
      <x:c r="B23" s="15"/>
      <x:c r="C23" s="15"/>
      <x:c r="D23" s="15"/>
    </x:row>
    <x:row r="24">
      <x:c r="A24" s="15"/>
      <x:c r="B24" s="15"/>
      <x:c r="C24" s="15"/>
      <x:c r="D24" s="15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ad56b362aa442b5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  <x:col min="3" max="3" width="14" hidden="0" customWidth="1"/>
    <x:col min="4" max="4" width="20" hidden="0" customWidth="1"/>
  </x:cols>
  <x:sheetData>
    <x:row r="1" ht="30" customHeight="1">
      <x:c r="A1" s="38" t="str">
        <x:v>Key Takeaways</x:v>
      </x:c>
      <x:c r="B1" s="38" t="str">
        <x:v>Key Takeaways</x:v>
      </x:c>
      <x:c r="C1" s="38" t="str">
        <x:v>Key Takeaways</x:v>
      </x:c>
      <x:c r="D1" s="38" t="str">
        <x:v>Key Takeaways</x:v>
      </x:c>
    </x:row>
    <x:row r="2" ht="34" customHeight="1">
      <x:c r="A2" s="39" t="str">
        <x:v>Short executive findings from the Copilot extraction.</x:v>
      </x:c>
      <x:c r="B2" s="39" t="str">
        <x:v>Short executive findings from the Copilot extraction.</x:v>
      </x:c>
      <x:c r="C2" s="39" t="str">
        <x:v>Short executive findings from the Copilot extraction.</x:v>
      </x:c>
      <x:c r="D2" s="39" t="str">
        <x:v>Short executive findings from the Copilot extraction.</x:v>
      </x:c>
    </x:row>
    <x:row r="3">
      <x:c r="A3" s="40"/>
      <x:c r="B3" s="40"/>
      <x:c r="C3" s="40"/>
      <x:c r="D3" s="40"/>
    </x:row>
    <x:row r="4" ht="34" customHeight="1">
      <x:c r="A4" s="44" t="str">
        <x:v>Priority</x:v>
      </x:c>
      <x:c r="B4" s="44" t="str">
        <x:v>Finding</x:v>
      </x:c>
      <x:c r="C4" s="44" t="str">
        <x:v>Confidence</x:v>
      </x:c>
      <x:c r="D4" s="44" t="str">
        <x:v>Source Ref</x:v>
      </x:c>
    </x:row>
    <x:row r="5">
      <x:c r="A5" s="15" t="n">
        <x:v>1</x:v>
      </x:c>
      <x:c r="B5" s="15" t="str">
        <x:v>Sprint 17 is being treated as the recovery and re-baseline sprint.</x:v>
      </x:c>
      <x:c r="C5" s="15" t="str">
        <x:v>High</x:v>
      </x:c>
      <x:c r="D5" s="15" t="str">
        <x:v>turn1search3</x:v>
      </x:c>
    </x:row>
    <x:row r="6">
      <x:c r="A6" s="15" t="n">
        <x:v>2</x:v>
      </x:c>
      <x:c r="B6" s="15" t="str">
        <x:v>Leadership wants a dated roadmap with owners, risks, dependencies, and recovery path, not architecture alone.</x:v>
      </x:c>
      <x:c r="C6" s="15" t="str">
        <x:v>High</x:v>
      </x:c>
      <x:c r="D6" s="15" t="str">
        <x:v>turn1search3</x:v>
      </x:c>
    </x:row>
    <x:row r="7">
      <x:c r="A7" s="15" t="n">
        <x:v>3</x:v>
      </x:c>
      <x:c r="B7" s="15" t="str">
        <x:v>Sprint 18 depends heavily on OCP/OpenShift, containers, Kafka, storage, and environment access.</x:v>
      </x:c>
      <x:c r="C7" s="15" t="str">
        <x:v>High</x:v>
      </x:c>
      <x:c r="D7" s="15" t="str">
        <x:v>turn1search3</x:v>
      </x:c>
    </x:row>
    <x:row r="8">
      <x:c r="A8" s="15" t="n">
        <x:v>4</x:v>
      </x:c>
      <x:c r="B8" s="15" t="str">
        <x:v>Testing is expected in Sprints 21-22, with earliest production discussion around Sprint 23.</x:v>
      </x:c>
      <x:c r="C8" s="15" t="str">
        <x:v>High</x:v>
      </x:c>
      <x:c r="D8" s="15" t="str">
        <x:v>turn1search3</x:v>
      </x:c>
    </x:row>
    <x:row r="9">
      <x:c r="A9" s="15" t="n">
        <x:v>5</x:v>
      </x:c>
      <x:c r="B9" s="15" t="str">
        <x:v>The most defensible production target discussed was early January, not Thanksgiving or December.</x:v>
      </x:c>
      <x:c r="C9" s="15" t="str">
        <x:v>High</x:v>
      </x:c>
      <x:c r="D9" s="15" t="str">
        <x:v>turn1search3</x:v>
      </x:c>
    </x:row>
    <x:row r="10">
      <x:c r="A10" s="15" t="n">
        <x:v>6</x:v>
      </x:c>
      <x:c r="B10" s="15" t="str">
        <x:v>The highest risks are external platform dependencies and approvals, not application coding effort.</x:v>
      </x:c>
      <x:c r="C10" s="15" t="str">
        <x:v>High</x:v>
      </x:c>
      <x:c r="D10" s="15" t="str">
        <x:v>turn1search3</x:v>
      </x:c>
    </x:row>
    <x:row r="11">
      <x:c r="A11" s="15" t="n">
        <x:v>7</x:v>
      </x:c>
      <x:c r="B11" s="15" t="str">
        <x:v>Legacy .NET Framework 4.7-era applications create forced urgency because fixes may not be releasable after the end-of-September window unless capability moves to Unity.</x:v>
      </x:c>
      <x:c r="C11" s="15" t="str">
        <x:v>High</x:v>
      </x:c>
      <x:c r="D11" s="15" t="str">
        <x:v>Larry update 2026-08-16</x:v>
      </x:c>
    </x:row>
    <x:row r="12">
      <x:c r="A12" s="15" t="n">
        <x:v>8</x:v>
      </x:c>
      <x:c r="B12" s="15" t="str">
        <x:v>RSA retirement creates an immediate release/control-track dependency owned by Yasser, expected after 08/25.</x:v>
      </x:c>
      <x:c r="C12" s="15" t="str">
        <x:v>High</x:v>
      </x:c>
      <x:c r="D12" s="15" t="str">
        <x:v>Larry update 2026-08-16</x:v>
      </x:c>
    </x:row>
    <x:row r="13">
      <x:c r="A13" s="15" t="n">
        <x:v>9</x:v>
      </x:c>
      <x:c r="B13" s="15" t="str">
        <x:v>CAB/CHK approvals, INC tickets, and SEV 1-4 production events must be tracked as schedule-impact events, not treated as unexplained slippage.</x:v>
      </x:c>
      <x:c r="C13" s="15" t="str">
        <x:v>High</x:v>
      </x:c>
      <x:c r="D13" s="15" t="str">
        <x:v>Larry update 2026-08-16</x:v>
      </x:c>
    </x:row>
    <x:row r="14">
      <x:c r="A14" s="15" t="n">
        <x:v>10</x:v>
      </x:c>
      <x:c r="B14" s="15" t="str">
        <x:v>Devin onboarding is visible, but timeline commitments should exclude AI acceleration until measured throughput exists; any gain should reduce future sprint forecasts as evidence emerges.</x:v>
      </x:c>
      <x:c r="C14" s="15" t="str">
        <x:v>High</x:v>
      </x:c>
      <x:c r="D14" s="15" t="str">
        <x:v>Larry update 2026-08-16</x:v>
      </x:c>
    </x:row>
    <x:row r="15">
      <x:c r="A15" s="15" t="n">
        <x:v>11</x:v>
      </x:c>
      <x:c r="B15" s="15" t="str">
        <x:v>PtB was expected by the end of July and missed, so downstream timelines should be explained as re-baselined from a slipped gating milestone.</x:v>
      </x:c>
      <x:c r="C15" s="15" t="str">
        <x:v>High</x:v>
      </x:c>
      <x:c r="D15" s="15" t="str">
        <x:v>Larry update 2026-08-16</x:v>
      </x:c>
    </x:row>
    <x:row r="16">
      <x:c r="A16" s="15" t="n">
        <x:v>12</x:v>
      </x:c>
      <x:c r="B16" s="15" t="str">
        <x:v>A BCP test exception is needed because the revised PtB/migration path means the original BCP timing cannot be met.</x:v>
      </x:c>
      <x:c r="C16" s="15" t="str">
        <x:v>High</x:v>
      </x:c>
      <x:c r="D16" s="15" t="str">
        <x:v>Larry update 2026-08-16</x:v>
      </x:c>
    </x:row>
    <x:row r="17">
      <x:c r="A17" s="15" t="n">
        <x:v>13</x:v>
      </x:c>
      <x:c r="B17" s="15" t="str">
        <x:v>Container and Apigee/API requests are PtB-gated; the team is preparing them now and can submit immediately after PtB approval.</x:v>
      </x:c>
      <x:c r="C17" s="15" t="str">
        <x:v>High</x:v>
      </x:c>
      <x:c r="D17" s="15" t="str">
        <x:v>Larry update 2026-08-16</x:v>
      </x:c>
    </x:row>
    <x:row r="18">
      <x:c r="A18" s="15" t="n">
        <x:v>14</x:v>
      </x:c>
      <x:c r="B18" s="15" t="str">
        <x:v>DB/SSIS concern is a coordination item with ESAR and MCC package owners, while the go-forward DB access pattern is covered through Apigee/API and Unity architecture.</x:v>
      </x:c>
      <x:c r="C18" s="15" t="str">
        <x:v>High</x:v>
      </x:c>
      <x:c r="D18" s="15" t="str">
        <x:v>Larry update 2026-08-16</x:v>
      </x:c>
    </x:row>
    <x:row r="19">
      <x:c r="A19" s="15" t="n">
        <x:v>15</x:v>
      </x:c>
      <x:c r="B19" s="15" t="str">
        <x:v>Active/Active is included in the Unity design and should be validated in Monday's architecture review rather than treated as an unresolved blocker.</x:v>
      </x:c>
      <x:c r="C19" s="15" t="str">
        <x:v>Medium</x:v>
      </x:c>
      <x:c r="D19" s="15" t="str">
        <x:v>Larry update 2026-08-16</x:v>
      </x:c>
    </x:row>
    <x:row r="20">
      <x:c r="A20" s="15"/>
      <x:c r="B20" s="15"/>
      <x:c r="C20" s="15"/>
      <x:c r="D20" s="15"/>
    </x:row>
    <x:row r="21">
      <x:c r="A21" s="15"/>
      <x:c r="B21" s="15"/>
      <x:c r="C21" s="15"/>
      <x:c r="D21" s="15"/>
    </x:row>
    <x:row r="22">
      <x:c r="A22" s="15"/>
      <x:c r="B22" s="15"/>
      <x:c r="C22" s="15"/>
      <x:c r="D22" s="15"/>
    </x:row>
    <x:row r="23">
      <x:c r="A23" s="15"/>
      <x:c r="B23" s="15"/>
      <x:c r="C23" s="15"/>
      <x:c r="D23" s="15"/>
    </x:row>
    <x:row r="24">
      <x:c r="A24" s="15"/>
      <x:c r="B24" s="15"/>
      <x:c r="C24" s="15"/>
      <x:c r="D24" s="15"/>
    </x:row>
  </x:sheetData>
  <x:mergeCells>
    <x:mergeCell ref="A1:D1"/>
    <x:mergeCell ref="A2:D2"/>
  </x:mergeCells>
  <x:conditionalFormatting sqref="C5:C24">
    <x:cfRule type="containsText" dxfId="68" priority="1" operator="containsText" text="High"/>
    <x:cfRule type="containsText" dxfId="69" priority="2" operator="containsText" text="Medium"/>
    <x:cfRule type="containsText" dxfId="70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ccf833f0a1d4a28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2" hidden="0" customWidth="1"/>
    <x:col min="4" max="4" width="12" hidden="0" customWidth="1"/>
    <x:col min="5" max="5" width="16" hidden="0" customWidth="1"/>
    <x:col min="6" max="6" width="16" hidden="0" customWidth="1"/>
    <x:col min="7" max="7" width="18" hidden="0" customWidth="1"/>
    <x:col min="8" max="8" width="22" hidden="0" customWidth="1"/>
    <x:col min="9" max="9" width="16" hidden="0" customWidth="1"/>
    <x:col min="10" max="10" width="8" hidden="0" customWidth="1"/>
    <x:col min="11" max="11" width="10" hidden="0" customWidth="1"/>
    <x:col min="12" max="12" width="10" hidden="0" customWidth="1"/>
    <x:col min="13" max="13" width="16" hidden="0" customWidth="1"/>
    <x:col min="14" max="14" width="24" hidden="0" customWidth="1"/>
    <x:col min="15" max="15" width="10" hidden="0" customWidth="1"/>
    <x:col min="16" max="16" width="34" hidden="0" customWidth="1"/>
  </x:cols>
  <x:sheetData>
    <x:row r="1" ht="30" customHeight="1">
      <x:c r="A1" s="38" t="str">
        <x:v>Delivery Tasks</x:v>
      </x:c>
      <x:c r="B1" s="38" t="str">
        <x:v>Delivery Tasks</x:v>
      </x:c>
      <x:c r="C1" s="38" t="str">
        <x:v>Delivery Tasks</x:v>
      </x:c>
      <x:c r="D1" s="38" t="str">
        <x:v>Delivery Tasks</x:v>
      </x:c>
      <x:c r="E1" s="38" t="str">
        <x:v>Delivery Tasks</x:v>
      </x:c>
      <x:c r="F1" s="38" t="str">
        <x:v>Delivery Tasks</x:v>
      </x:c>
      <x:c r="G1" s="38" t="str">
        <x:v>Delivery Tasks</x:v>
      </x:c>
      <x:c r="H1" s="38" t="str">
        <x:v>Delivery Tasks</x:v>
      </x:c>
      <x:c r="I1" s="38" t="str">
        <x:v>Delivery Tasks</x:v>
      </x:c>
      <x:c r="J1" s="38" t="str">
        <x:v>Delivery Tasks</x:v>
      </x:c>
      <x:c r="K1" s="38" t="str">
        <x:v>Delivery Tasks</x:v>
      </x:c>
      <x:c r="L1" s="38" t="str">
        <x:v>Delivery Tasks</x:v>
      </x:c>
      <x:c r="M1" s="38" t="str">
        <x:v>Delivery Tasks</x:v>
      </x:c>
      <x:c r="N1" s="38" t="str">
        <x:v>Delivery Tasks</x:v>
      </x:c>
      <x:c r="O1" s="38" t="str">
        <x:v>Delivery Tasks</x:v>
      </x:c>
      <x:c r="P1" s="38" t="str">
        <x:v>Delivery Tasks</x:v>
      </x:c>
    </x:row>
    <x:row r="2" ht="34" customHeight="1">
      <x:c r="A2" s="39" t="str">
        <x:v>Detailed request tracker for milestones, environments, external dependencies, Jira stories, sprint, points, and min/max effort.</x:v>
      </x:c>
      <x:c r="B2" s="39" t="str">
        <x:v>Detailed request tracker for milestones, environments, external dependencies, Jira stories, sprint, points, and min/max effort.</x:v>
      </x:c>
      <x:c r="C2" s="39" t="str">
        <x:v>Detailed request tracker for milestones, environments, external dependencies, Jira stories, sprint, points, and min/max effort.</x:v>
      </x:c>
      <x:c r="D2" s="39" t="str">
        <x:v>Detailed request tracker for milestones, environments, external dependencies, Jira stories, sprint, points, and min/max effort.</x:v>
      </x:c>
      <x:c r="E2" s="39" t="str">
        <x:v>Detailed request tracker for milestones, environments, external dependencies, Jira stories, sprint, points, and min/max effort.</x:v>
      </x:c>
      <x:c r="F2" s="39" t="str">
        <x:v>Detailed request tracker for milestones, environments, external dependencies, Jira stories, sprint, points, and min/max effort.</x:v>
      </x:c>
      <x:c r="G2" s="39" t="str">
        <x:v>Detailed request tracker for milestones, environments, external dependencies, Jira stories, sprint, points, and min/max effort.</x:v>
      </x:c>
      <x:c r="H2" s="39" t="str">
        <x:v>Detailed request tracker for milestones, environments, external dependencies, Jira stories, sprint, points, and min/max effort.</x:v>
      </x:c>
      <x:c r="I2" s="39" t="str">
        <x:v>Detailed request tracker for milestones, environments, external dependencies, Jira stories, sprint, points, and min/max effort.</x:v>
      </x:c>
      <x:c r="J2" s="39" t="str">
        <x:v>Detailed request tracker for milestones, environments, external dependencies, Jira stories, sprint, points, and min/max effort.</x:v>
      </x:c>
      <x:c r="K2" s="39" t="str">
        <x:v>Detailed request tracker for milestones, environments, external dependencies, Jira stories, sprint, points, and min/max effort.</x:v>
      </x:c>
      <x:c r="L2" s="39" t="str">
        <x:v>Detailed request tracker for milestones, environments, external dependencies, Jira stories, sprint, points, and min/max effort.</x:v>
      </x:c>
      <x:c r="M2" s="39" t="str">
        <x:v>Detailed request tracker for milestones, environments, external dependencies, Jira stories, sprint, points, and min/max effort.</x:v>
      </x:c>
      <x:c r="N2" s="39" t="str">
        <x:v>Detailed request tracker for milestones, environments, external dependencies, Jira stories, sprint, points, and min/max effort.</x:v>
      </x:c>
      <x:c r="O2" s="39" t="str">
        <x:v>Detailed request tracker for milestones, environments, external dependencies, Jira stories, sprint, points, and min/max effort.</x:v>
      </x:c>
      <x:c r="P2" s="39" t="str">
        <x:v>Detailed request tracker for milestones, environments, external dependencies, Jira stories, sprint, points, and min/max effort.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</x:row>
    <x:row r="4" ht="34" customHeight="1">
      <x:c r="A4" s="44" t="str">
        <x:v>Milestone</x:v>
      </x:c>
      <x:c r="B4" s="44" t="str">
        <x:v>Description</x:v>
      </x:c>
      <x:c r="C4" s="44" t="str">
        <x:v>Task Type</x:v>
      </x:c>
      <x:c r="D4" s="44" t="str">
        <x:v>Complexity</x:v>
      </x:c>
      <x:c r="E4" s="44" t="str">
        <x:v>Area</x:v>
      </x:c>
      <x:c r="F4" s="44" t="str">
        <x:v>Environment</x:v>
      </x:c>
      <x:c r="G4" s="44" t="str">
        <x:v>Ext Dependency</x:v>
      </x:c>
      <x:c r="H4" s="44" t="str">
        <x:v>Jira Story</x:v>
      </x:c>
      <x:c r="I4" s="44" t="str">
        <x:v>Sprint</x:v>
      </x:c>
      <x:c r="J4" s="44" t="str">
        <x:v>Pts</x:v>
      </x:c>
      <x:c r="K4" s="44" t="str">
        <x:v>Days Min</x:v>
      </x:c>
      <x:c r="L4" s="44" t="str">
        <x:v>Days Max</x:v>
      </x:c>
      <x:c r="M4" s="44" t="str">
        <x:v>Status</x:v>
      </x:c>
      <x:c r="N4" s="44" t="str">
        <x:v>Who</x:v>
      </x:c>
      <x:c r="O4" s="44" t="str">
        <x:v>R/Y/G</x:v>
      </x:c>
      <x:c r="P4" s="44" t="str">
        <x:v>Notes</x:v>
      </x:c>
    </x:row>
    <x:row r="5">
      <x:c r="A5" s="15" t="str">
        <x:v>1. Recovery Setup</x:v>
      </x:c>
      <x:c r="B5" s="15" t="str">
        <x:v>Complete CVIS modernization frame and spreadsheet tracker</x:v>
      </x:c>
      <x:c r="C5" s="15" t="str">
        <x:v>Application Inventory</x:v>
      </x:c>
      <x:c r="D5" s="15" t="str">
        <x:v>Medium</x:v>
      </x:c>
      <x:c r="E5" s="15" t="str">
        <x:v>Support</x:v>
      </x:c>
      <x:c r="F5" s="15" t="str">
        <x:v>Non-Prod</x:v>
      </x:c>
      <x:c r="G5" s="15" t="str">
        <x:v>CVIS</x:v>
      </x:c>
      <x:c r="H5" s="15" t="str"/>
      <x:c r="I5" s="15" t="str"/>
      <x:c r="J5" s="23" t="str"/>
      <x:c r="K5" s="23" t="n">
        <x:f>IFERROR(MAX(0.5,ROUND(INDEX('Assumptions'!$D$5:$G$22,MATCH(C5,'Assumptions'!$A$5:$A$22,0),MATCH(D5,'Assumptions'!$D$4:$G$4,0))*0.75,1)),"")</x:f>
        <x:v>3.8</x:v>
      </x:c>
      <x:c r="L5" s="23" t="n">
        <x:f>IFERROR(MAX(0.5,ROUND(INDEX('Assumptions'!$D$5:$G$22,MATCH(C5,'Assumptions'!$A$5:$A$22,0),MATCH(D5,'Assumptions'!$D$4:$G$4,0))*1.25,1)),"")</x:f>
        <x:v>6.3</x:v>
      </x:c>
      <x:c r="M5" s="15" t="str">
        <x:v>In Progress</x:v>
      </x:c>
      <x:c r="N5" s="15" t="str">
        <x:v>CVIS</x:v>
      </x:c>
      <x:c r="O5" s="15" t="str">
        <x:v>Yellow</x:v>
      </x:c>
      <x:c r="P5" s="15" t="str"/>
    </x:row>
    <x:row r="6">
      <x:c r="A6" s="15" t="str">
        <x:v>2. NFR / Architecture</x:v>
      </x:c>
      <x:c r="B6" s="15" t="str">
        <x:v>Prepare NFR package and architecture ask list</x:v>
      </x:c>
      <x:c r="C6" s="15" t="str">
        <x:v>NFR Documentation</x:v>
      </x:c>
      <x:c r="D6" s="15" t="str">
        <x:v>Medium</x:v>
      </x:c>
      <x:c r="E6" s="15" t="str">
        <x:v>Support</x:v>
      </x:c>
      <x:c r="F6" s="15" t="str">
        <x:v>Prep for Prod</x:v>
      </x:c>
      <x:c r="G6" s="15" t="str">
        <x:v>Architecture</x:v>
      </x:c>
      <x:c r="H6" s="15" t="str"/>
      <x:c r="I6" s="15" t="str"/>
      <x:c r="J6" s="23" t="str"/>
      <x:c r="K6" s="23" t="n">
        <x:f>IFERROR(MAX(0.5,ROUND(INDEX('Assumptions'!$D$5:$G$22,MATCH(C6,'Assumptions'!$A$5:$A$22,0),MATCH(D6,'Assumptions'!$D$4:$G$4,0))*0.75,1)),"")</x:f>
        <x:v>3</x:v>
      </x:c>
      <x:c r="L6" s="23" t="n">
        <x:f>IFERROR(MAX(0.5,ROUND(INDEX('Assumptions'!$D$5:$G$22,MATCH(C6,'Assumptions'!$A$5:$A$22,0),MATCH(D6,'Assumptions'!$D$4:$G$4,0))*1.25,1)),"")</x:f>
        <x:v>5</x:v>
      </x:c>
      <x:c r="M6" s="15" t="str">
        <x:v>To do</x:v>
      </x:c>
      <x:c r="N6" s="15" t="str">
        <x:v>CVIS</x:v>
      </x:c>
      <x:c r="O6" s="15" t="str">
        <x:v>Yellow</x:v>
      </x:c>
      <x:c r="P6" s="15" t="str"/>
    </x:row>
    <x:row r="7">
      <x:c r="A7" s="15" t="str">
        <x:v>3. Platform Onboarding</x:v>
      </x:c>
      <x:c r="B7" s="15" t="str">
        <x:v>Submit container onboarding request after PtB approval</x:v>
      </x:c>
      <x:c r="C7" s="15" t="str">
        <x:v>Container Onboarding</x:v>
      </x:c>
      <x:c r="D7" s="15" t="str">
        <x:v>Medium</x:v>
      </x:c>
      <x:c r="E7" s="15" t="str">
        <x:v>OCP/Harness</x:v>
      </x:c>
      <x:c r="F7" s="15" t="str">
        <x:v>Non-Prod</x:v>
      </x:c>
      <x:c r="G7" s="15" t="str">
        <x:v>Platform team</x:v>
      </x:c>
      <x:c r="H7" s="15" t="str"/>
      <x:c r="I7" s="15" t="str"/>
      <x:c r="J7" s="23" t="str"/>
      <x:c r="K7" s="23" t="n">
        <x:f>IFERROR(MAX(0.5,ROUND(INDEX('Assumptions'!$D$5:$G$22,MATCH(C7,'Assumptions'!$A$5:$A$22,0),MATCH(D7,'Assumptions'!$D$4:$G$4,0))*0.75,1)),"")</x:f>
        <x:v>7.5</x:v>
      </x:c>
      <x:c r="L7" s="23" t="n">
        <x:f>IFERROR(MAX(0.5,ROUND(INDEX('Assumptions'!$D$5:$G$22,MATCH(C7,'Assumptions'!$A$5:$A$22,0),MATCH(D7,'Assumptions'!$D$4:$G$4,0))*1.25,1)),"")</x:f>
        <x:v>12.5</x:v>
      </x:c>
      <x:c r="M7" s="15" t="str">
        <x:v>Waiting External</x:v>
      </x:c>
      <x:c r="N7" s="15" t="str">
        <x:v>CVIS / Platform</x:v>
      </x:c>
      <x:c r="O7" s="15" t="str">
        <x:v>Yellow</x:v>
      </x:c>
      <x:c r="P7" s="15" t="str">
        <x:v>Request cannot be submitted until PtB approval; package should be ready.</x:v>
      </x:c>
    </x:row>
    <x:row r="8">
      <x:c r="A8" s="15" t="str">
        <x:v>4. API Onboarding</x:v>
      </x:c>
      <x:c r="B8" s="15" t="str">
        <x:v>Submit Apigee onboarding request after PtB approval</x:v>
      </x:c>
      <x:c r="C8" s="15" t="str">
        <x:v>Apigee Onboarding</x:v>
      </x:c>
      <x:c r="D8" s="15" t="str">
        <x:v>Medium</x:v>
      </x:c>
      <x:c r="E8" s="15" t="str">
        <x:v>API</x:v>
      </x:c>
      <x:c r="F8" s="15" t="str">
        <x:v>Non-Prod</x:v>
      </x:c>
      <x:c r="G8" s="15" t="str">
        <x:v>API team</x:v>
      </x:c>
      <x:c r="H8" s="15" t="str"/>
      <x:c r="I8" s="15" t="str"/>
      <x:c r="J8" s="23" t="str"/>
      <x:c r="K8" s="23" t="n">
        <x:f>IFERROR(MAX(0.5,ROUND(INDEX('Assumptions'!$D$5:$G$22,MATCH(C8,'Assumptions'!$A$5:$A$22,0),MATCH(D8,'Assumptions'!$D$4:$G$4,0))*0.75,1)),"")</x:f>
        <x:v>7.5</x:v>
      </x:c>
      <x:c r="L8" s="23" t="n">
        <x:f>IFERROR(MAX(0.5,ROUND(INDEX('Assumptions'!$D$5:$G$22,MATCH(C8,'Assumptions'!$A$5:$A$22,0),MATCH(D8,'Assumptions'!$D$4:$G$4,0))*1.25,1)),"")</x:f>
        <x:v>12.5</x:v>
      </x:c>
      <x:c r="M8" s="15" t="str">
        <x:v>Waiting External</x:v>
      </x:c>
      <x:c r="N8" s="15" t="str">
        <x:v>CVIS / API</x:v>
      </x:c>
      <x:c r="O8" s="15" t="str">
        <x:v>Yellow</x:v>
      </x:c>
      <x:c r="P8" s="15" t="str">
        <x:v>Request cannot be submitted until PtB approval; DB API pattern is covered in target architecture.</x:v>
      </x:c>
    </x:row>
    <x:row r="9">
      <x:c r="A9" s="15" t="str">
        <x:v>5. Pilot Execution</x:v>
      </x:c>
      <x:c r="B9" s="15" t="str">
        <x:v>Select pilot app and document current behavior</x:v>
      </x:c>
      <x:c r="C9" s="15" t="str">
        <x:v>Discovery</x:v>
      </x:c>
      <x:c r="D9" s="15" t="str">
        <x:v>Medium</x:v>
      </x:c>
      <x:c r="E9" s="15" t="str">
        <x:v>CyberArk</x:v>
      </x:c>
      <x:c r="F9" s="15" t="str">
        <x:v>DEV</x:v>
      </x:c>
      <x:c r="G9" s="15" t="str">
        <x:v>CyberArk SME</x:v>
      </x:c>
      <x:c r="H9" s="15" t="str"/>
      <x:c r="I9" s="15" t="str"/>
      <x:c r="J9" s="23" t="str"/>
      <x:c r="K9" s="23" t="n">
        <x:f>IFERROR(MAX(0.5,ROUND(INDEX('Assumptions'!$D$5:$G$22,MATCH(C9,'Assumptions'!$A$5:$A$22,0),MATCH(D9,'Assumptions'!$D$4:$G$4,0))*0.75,1)),"")</x:f>
        <x:v>3</x:v>
      </x:c>
      <x:c r="L9" s="23" t="n">
        <x:f>IFERROR(MAX(0.5,ROUND(INDEX('Assumptions'!$D$5:$G$22,MATCH(C9,'Assumptions'!$A$5:$A$22,0),MATCH(D9,'Assumptions'!$D$4:$G$4,0))*1.25,1)),"")</x:f>
        <x:v>5</x:v>
      </x:c>
      <x:c r="M9" s="15" t="str">
        <x:v>To do</x:v>
      </x:c>
      <x:c r="N9" s="15" t="str">
        <x:v>CVIS</x:v>
      </x:c>
      <x:c r="O9" s="15" t="str">
        <x:v>Yellow</x:v>
      </x:c>
      <x:c r="P9" s="15" t="str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23"/>
      <x:c r="K10" s="23" t="str">
        <x:f>IFERROR(MAX(0.5,ROUND(INDEX('Assumptions'!$D$5:$G$22,MATCH(C10,'Assumptions'!$A$5:$A$22,0),MATCH(D10,'Assumptions'!$D$4:$G$4,0))*0.75,1)),"")</x:f>
      </x:c>
      <x:c r="L10" s="23" t="str">
        <x:f>IFERROR(MAX(0.5,ROUND(INDEX('Assumptions'!$D$5:$G$22,MATCH(C10,'Assumptions'!$A$5:$A$22,0),MATCH(D10,'Assumptions'!$D$4:$G$4,0))*1.25,1)),"")</x:f>
      </x:c>
      <x:c r="M10" s="15"/>
      <x:c r="N10" s="15"/>
      <x:c r="O10" s="15"/>
      <x:c r="P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23"/>
      <x:c r="K11" s="23" t="str">
        <x:f>IFERROR(MAX(0.5,ROUND(INDEX('Assumptions'!$D$5:$G$22,MATCH(C11,'Assumptions'!$A$5:$A$22,0),MATCH(D11,'Assumptions'!$D$4:$G$4,0))*0.75,1)),"")</x:f>
      </x:c>
      <x:c r="L11" s="23" t="str">
        <x:f>IFERROR(MAX(0.5,ROUND(INDEX('Assumptions'!$D$5:$G$22,MATCH(C11,'Assumptions'!$A$5:$A$22,0),MATCH(D11,'Assumptions'!$D$4:$G$4,0))*1.25,1)),"")</x:f>
      </x:c>
      <x:c r="M11" s="15"/>
      <x:c r="N11" s="15"/>
      <x:c r="O11" s="15"/>
      <x:c r="P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23"/>
      <x:c r="K12" s="23" t="str">
        <x:f>IFERROR(MAX(0.5,ROUND(INDEX('Assumptions'!$D$5:$G$22,MATCH(C12,'Assumptions'!$A$5:$A$22,0),MATCH(D12,'Assumptions'!$D$4:$G$4,0))*0.75,1)),"")</x:f>
      </x:c>
      <x:c r="L12" s="23" t="str">
        <x:f>IFERROR(MAX(0.5,ROUND(INDEX('Assumptions'!$D$5:$G$22,MATCH(C12,'Assumptions'!$A$5:$A$22,0),MATCH(D12,'Assumptions'!$D$4:$G$4,0))*1.25,1)),"")</x:f>
      </x:c>
      <x:c r="M12" s="15"/>
      <x:c r="N12" s="15"/>
      <x:c r="O12" s="15"/>
      <x:c r="P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23"/>
      <x:c r="K13" s="23" t="str">
        <x:f>IFERROR(MAX(0.5,ROUND(INDEX('Assumptions'!$D$5:$G$22,MATCH(C13,'Assumptions'!$A$5:$A$22,0),MATCH(D13,'Assumptions'!$D$4:$G$4,0))*0.75,1)),"")</x:f>
      </x:c>
      <x:c r="L13" s="23" t="str">
        <x:f>IFERROR(MAX(0.5,ROUND(INDEX('Assumptions'!$D$5:$G$22,MATCH(C13,'Assumptions'!$A$5:$A$22,0),MATCH(D13,'Assumptions'!$D$4:$G$4,0))*1.25,1)),"")</x:f>
      </x:c>
      <x:c r="M13" s="15"/>
      <x:c r="N13" s="15"/>
      <x:c r="O13" s="15"/>
      <x:c r="P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23"/>
      <x:c r="K14" s="23" t="str">
        <x:f>IFERROR(MAX(0.5,ROUND(INDEX('Assumptions'!$D$5:$G$22,MATCH(C14,'Assumptions'!$A$5:$A$22,0),MATCH(D14,'Assumptions'!$D$4:$G$4,0))*0.75,1)),"")</x:f>
      </x:c>
      <x:c r="L14" s="23" t="str">
        <x:f>IFERROR(MAX(0.5,ROUND(INDEX('Assumptions'!$D$5:$G$22,MATCH(C14,'Assumptions'!$A$5:$A$22,0),MATCH(D14,'Assumptions'!$D$4:$G$4,0))*1.25,1)),"")</x:f>
      </x:c>
      <x:c r="M14" s="15"/>
      <x:c r="N14" s="15"/>
      <x:c r="O14" s="15"/>
      <x:c r="P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23"/>
      <x:c r="K15" s="23" t="str">
        <x:f>IFERROR(MAX(0.5,ROUND(INDEX('Assumptions'!$D$5:$G$22,MATCH(C15,'Assumptions'!$A$5:$A$22,0),MATCH(D15,'Assumptions'!$D$4:$G$4,0))*0.75,1)),"")</x:f>
      </x:c>
      <x:c r="L15" s="23" t="str">
        <x:f>IFERROR(MAX(0.5,ROUND(INDEX('Assumptions'!$D$5:$G$22,MATCH(C15,'Assumptions'!$A$5:$A$22,0),MATCH(D15,'Assumptions'!$D$4:$G$4,0))*1.25,1)),"")</x:f>
      </x:c>
      <x:c r="M15" s="15"/>
      <x:c r="N15" s="15"/>
      <x:c r="O15" s="15"/>
      <x:c r="P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23"/>
      <x:c r="K16" s="23" t="str">
        <x:f>IFERROR(MAX(0.5,ROUND(INDEX('Assumptions'!$D$5:$G$22,MATCH(C16,'Assumptions'!$A$5:$A$22,0),MATCH(D16,'Assumptions'!$D$4:$G$4,0))*0.75,1)),"")</x:f>
      </x:c>
      <x:c r="L16" s="23" t="str">
        <x:f>IFERROR(MAX(0.5,ROUND(INDEX('Assumptions'!$D$5:$G$22,MATCH(C16,'Assumptions'!$A$5:$A$22,0),MATCH(D16,'Assumptions'!$D$4:$G$4,0))*1.25,1)),"")</x:f>
      </x:c>
      <x:c r="M16" s="15"/>
      <x:c r="N16" s="15"/>
      <x:c r="O16" s="15"/>
      <x:c r="P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23"/>
      <x:c r="K17" s="23" t="str">
        <x:f>IFERROR(MAX(0.5,ROUND(INDEX('Assumptions'!$D$5:$G$22,MATCH(C17,'Assumptions'!$A$5:$A$22,0),MATCH(D17,'Assumptions'!$D$4:$G$4,0))*0.75,1)),"")</x:f>
      </x:c>
      <x:c r="L17" s="23" t="str">
        <x:f>IFERROR(MAX(0.5,ROUND(INDEX('Assumptions'!$D$5:$G$22,MATCH(C17,'Assumptions'!$A$5:$A$22,0),MATCH(D17,'Assumptions'!$D$4:$G$4,0))*1.25,1)),"")</x:f>
      </x:c>
      <x:c r="M17" s="15"/>
      <x:c r="N17" s="15"/>
      <x:c r="O17" s="15"/>
      <x:c r="P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23"/>
      <x:c r="K18" s="23" t="str">
        <x:f>IFERROR(MAX(0.5,ROUND(INDEX('Assumptions'!$D$5:$G$22,MATCH(C18,'Assumptions'!$A$5:$A$22,0),MATCH(D18,'Assumptions'!$D$4:$G$4,0))*0.75,1)),"")</x:f>
      </x:c>
      <x:c r="L18" s="23" t="str">
        <x:f>IFERROR(MAX(0.5,ROUND(INDEX('Assumptions'!$D$5:$G$22,MATCH(C18,'Assumptions'!$A$5:$A$22,0),MATCH(D18,'Assumptions'!$D$4:$G$4,0))*1.25,1)),"")</x:f>
      </x:c>
      <x:c r="M18" s="15"/>
      <x:c r="N18" s="15"/>
      <x:c r="O18" s="15"/>
      <x:c r="P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23"/>
      <x:c r="K19" s="23" t="str">
        <x:f>IFERROR(MAX(0.5,ROUND(INDEX('Assumptions'!$D$5:$G$22,MATCH(C19,'Assumptions'!$A$5:$A$22,0),MATCH(D19,'Assumptions'!$D$4:$G$4,0))*0.75,1)),"")</x:f>
      </x:c>
      <x:c r="L19" s="23" t="str">
        <x:f>IFERROR(MAX(0.5,ROUND(INDEX('Assumptions'!$D$5:$G$22,MATCH(C19,'Assumptions'!$A$5:$A$22,0),MATCH(D19,'Assumptions'!$D$4:$G$4,0))*1.25,1)),"")</x:f>
      </x:c>
      <x:c r="M19" s="15"/>
      <x:c r="N19" s="15"/>
      <x:c r="O19" s="15"/>
      <x:c r="P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23"/>
      <x:c r="K20" s="23" t="str">
        <x:f>IFERROR(MAX(0.5,ROUND(INDEX('Assumptions'!$D$5:$G$22,MATCH(C20,'Assumptions'!$A$5:$A$22,0),MATCH(D20,'Assumptions'!$D$4:$G$4,0))*0.75,1)),"")</x:f>
      </x:c>
      <x:c r="L20" s="23" t="str">
        <x:f>IFERROR(MAX(0.5,ROUND(INDEX('Assumptions'!$D$5:$G$22,MATCH(C20,'Assumptions'!$A$5:$A$22,0),MATCH(D20,'Assumptions'!$D$4:$G$4,0))*1.25,1)),"")</x:f>
      </x:c>
      <x:c r="M20" s="15"/>
      <x:c r="N20" s="15"/>
      <x:c r="O20" s="15"/>
      <x:c r="P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23"/>
      <x:c r="K21" s="23" t="str">
        <x:f>IFERROR(MAX(0.5,ROUND(INDEX('Assumptions'!$D$5:$G$22,MATCH(C21,'Assumptions'!$A$5:$A$22,0),MATCH(D21,'Assumptions'!$D$4:$G$4,0))*0.75,1)),"")</x:f>
      </x:c>
      <x:c r="L21" s="23" t="str">
        <x:f>IFERROR(MAX(0.5,ROUND(INDEX('Assumptions'!$D$5:$G$22,MATCH(C21,'Assumptions'!$A$5:$A$22,0),MATCH(D21,'Assumptions'!$D$4:$G$4,0))*1.25,1)),"")</x:f>
      </x:c>
      <x:c r="M21" s="15"/>
      <x:c r="N21" s="15"/>
      <x:c r="O21" s="15"/>
      <x:c r="P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23"/>
      <x:c r="K22" s="23" t="str">
        <x:f>IFERROR(MAX(0.5,ROUND(INDEX('Assumptions'!$D$5:$G$22,MATCH(C22,'Assumptions'!$A$5:$A$22,0),MATCH(D22,'Assumptions'!$D$4:$G$4,0))*0.75,1)),"")</x:f>
      </x:c>
      <x:c r="L22" s="23" t="str">
        <x:f>IFERROR(MAX(0.5,ROUND(INDEX('Assumptions'!$D$5:$G$22,MATCH(C22,'Assumptions'!$A$5:$A$22,0),MATCH(D22,'Assumptions'!$D$4:$G$4,0))*1.25,1)),"")</x:f>
      </x:c>
      <x:c r="M22" s="15"/>
      <x:c r="N22" s="15"/>
      <x:c r="O22" s="15"/>
      <x:c r="P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23"/>
      <x:c r="K23" s="23" t="str">
        <x:f>IFERROR(MAX(0.5,ROUND(INDEX('Assumptions'!$D$5:$G$22,MATCH(C23,'Assumptions'!$A$5:$A$22,0),MATCH(D23,'Assumptions'!$D$4:$G$4,0))*0.75,1)),"")</x:f>
      </x:c>
      <x:c r="L23" s="23" t="str">
        <x:f>IFERROR(MAX(0.5,ROUND(INDEX('Assumptions'!$D$5:$G$22,MATCH(C23,'Assumptions'!$A$5:$A$22,0),MATCH(D23,'Assumptions'!$D$4:$G$4,0))*1.25,1)),"")</x:f>
      </x:c>
      <x:c r="M23" s="15"/>
      <x:c r="N23" s="15"/>
      <x:c r="O23" s="15"/>
      <x:c r="P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23"/>
      <x:c r="K24" s="23" t="str">
        <x:f>IFERROR(MAX(0.5,ROUND(INDEX('Assumptions'!$D$5:$G$22,MATCH(C24,'Assumptions'!$A$5:$A$22,0),MATCH(D24,'Assumptions'!$D$4:$G$4,0))*0.75,1)),"")</x:f>
      </x:c>
      <x:c r="L24" s="23" t="str">
        <x:f>IFERROR(MAX(0.5,ROUND(INDEX('Assumptions'!$D$5:$G$22,MATCH(C24,'Assumptions'!$A$5:$A$22,0),MATCH(D24,'Assumptions'!$D$4:$G$4,0))*1.25,1)),"")</x:f>
      </x:c>
      <x:c r="M24" s="15"/>
      <x:c r="N24" s="15"/>
      <x:c r="O24" s="15"/>
      <x:c r="P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23"/>
      <x:c r="K25" s="23" t="str">
        <x:f>IFERROR(MAX(0.5,ROUND(INDEX('Assumptions'!$D$5:$G$22,MATCH(C25,'Assumptions'!$A$5:$A$22,0),MATCH(D25,'Assumptions'!$D$4:$G$4,0))*0.75,1)),"")</x:f>
      </x:c>
      <x:c r="L25" s="23" t="str">
        <x:f>IFERROR(MAX(0.5,ROUND(INDEX('Assumptions'!$D$5:$G$22,MATCH(C25,'Assumptions'!$A$5:$A$22,0),MATCH(D25,'Assumptions'!$D$4:$G$4,0))*1.25,1)),"")</x:f>
      </x:c>
      <x:c r="M25" s="15"/>
      <x:c r="N25" s="15"/>
      <x:c r="O25" s="15"/>
      <x:c r="P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23"/>
      <x:c r="K26" s="23" t="str">
        <x:f>IFERROR(MAX(0.5,ROUND(INDEX('Assumptions'!$D$5:$G$22,MATCH(C26,'Assumptions'!$A$5:$A$22,0),MATCH(D26,'Assumptions'!$D$4:$G$4,0))*0.75,1)),"")</x:f>
      </x:c>
      <x:c r="L26" s="23" t="str">
        <x:f>IFERROR(MAX(0.5,ROUND(INDEX('Assumptions'!$D$5:$G$22,MATCH(C26,'Assumptions'!$A$5:$A$22,0),MATCH(D26,'Assumptions'!$D$4:$G$4,0))*1.25,1)),"")</x:f>
      </x:c>
      <x:c r="M26" s="15"/>
      <x:c r="N26" s="15"/>
      <x:c r="O26" s="15"/>
      <x:c r="P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23"/>
      <x:c r="K27" s="23" t="str">
        <x:f>IFERROR(MAX(0.5,ROUND(INDEX('Assumptions'!$D$5:$G$22,MATCH(C27,'Assumptions'!$A$5:$A$22,0),MATCH(D27,'Assumptions'!$D$4:$G$4,0))*0.75,1)),"")</x:f>
      </x:c>
      <x:c r="L27" s="23" t="str">
        <x:f>IFERROR(MAX(0.5,ROUND(INDEX('Assumptions'!$D$5:$G$22,MATCH(C27,'Assumptions'!$A$5:$A$22,0),MATCH(D27,'Assumptions'!$D$4:$G$4,0))*1.25,1)),"")</x:f>
      </x:c>
      <x:c r="M27" s="15"/>
      <x:c r="N27" s="15"/>
      <x:c r="O27" s="15"/>
      <x:c r="P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23"/>
      <x:c r="K28" s="23" t="str">
        <x:f>IFERROR(MAX(0.5,ROUND(INDEX('Assumptions'!$D$5:$G$22,MATCH(C28,'Assumptions'!$A$5:$A$22,0),MATCH(D28,'Assumptions'!$D$4:$G$4,0))*0.75,1)),"")</x:f>
      </x:c>
      <x:c r="L28" s="23" t="str">
        <x:f>IFERROR(MAX(0.5,ROUND(INDEX('Assumptions'!$D$5:$G$22,MATCH(C28,'Assumptions'!$A$5:$A$22,0),MATCH(D28,'Assumptions'!$D$4:$G$4,0))*1.25,1)),"")</x:f>
      </x:c>
      <x:c r="M28" s="15"/>
      <x:c r="N28" s="15"/>
      <x:c r="O28" s="15"/>
      <x:c r="P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23"/>
      <x:c r="K29" s="23" t="str">
        <x:f>IFERROR(MAX(0.5,ROUND(INDEX('Assumptions'!$D$5:$G$22,MATCH(C29,'Assumptions'!$A$5:$A$22,0),MATCH(D29,'Assumptions'!$D$4:$G$4,0))*0.75,1)),"")</x:f>
      </x:c>
      <x:c r="L29" s="23" t="str">
        <x:f>IFERROR(MAX(0.5,ROUND(INDEX('Assumptions'!$D$5:$G$22,MATCH(C29,'Assumptions'!$A$5:$A$22,0),MATCH(D29,'Assumptions'!$D$4:$G$4,0))*1.25,1)),"")</x:f>
      </x:c>
      <x:c r="M29" s="15"/>
      <x:c r="N29" s="15"/>
      <x:c r="O29" s="15"/>
      <x:c r="P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23"/>
      <x:c r="K30" s="23" t="str">
        <x:f>IFERROR(MAX(0.5,ROUND(INDEX('Assumptions'!$D$5:$G$22,MATCH(C30,'Assumptions'!$A$5:$A$22,0),MATCH(D30,'Assumptions'!$D$4:$G$4,0))*0.75,1)),"")</x:f>
      </x:c>
      <x:c r="L30" s="23" t="str">
        <x:f>IFERROR(MAX(0.5,ROUND(INDEX('Assumptions'!$D$5:$G$22,MATCH(C30,'Assumptions'!$A$5:$A$22,0),MATCH(D30,'Assumptions'!$D$4:$G$4,0))*1.25,1)),"")</x:f>
      </x:c>
      <x:c r="M30" s="15"/>
      <x:c r="N30" s="15"/>
      <x:c r="O30" s="15"/>
      <x:c r="P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23"/>
      <x:c r="K31" s="23" t="str">
        <x:f>IFERROR(MAX(0.5,ROUND(INDEX('Assumptions'!$D$5:$G$22,MATCH(C31,'Assumptions'!$A$5:$A$22,0),MATCH(D31,'Assumptions'!$D$4:$G$4,0))*0.75,1)),"")</x:f>
      </x:c>
      <x:c r="L31" s="23" t="str">
        <x:f>IFERROR(MAX(0.5,ROUND(INDEX('Assumptions'!$D$5:$G$22,MATCH(C31,'Assumptions'!$A$5:$A$22,0),MATCH(D31,'Assumptions'!$D$4:$G$4,0))*1.25,1)),"")</x:f>
      </x:c>
      <x:c r="M31" s="15"/>
      <x:c r="N31" s="15"/>
      <x:c r="O31" s="15"/>
      <x:c r="P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23"/>
      <x:c r="K32" s="23" t="str">
        <x:f>IFERROR(MAX(0.5,ROUND(INDEX('Assumptions'!$D$5:$G$22,MATCH(C32,'Assumptions'!$A$5:$A$22,0),MATCH(D32,'Assumptions'!$D$4:$G$4,0))*0.75,1)),"")</x:f>
      </x:c>
      <x:c r="L32" s="23" t="str">
        <x:f>IFERROR(MAX(0.5,ROUND(INDEX('Assumptions'!$D$5:$G$22,MATCH(C32,'Assumptions'!$A$5:$A$22,0),MATCH(D32,'Assumptions'!$D$4:$G$4,0))*1.25,1)),"")</x:f>
      </x:c>
      <x:c r="M32" s="15"/>
      <x:c r="N32" s="15"/>
      <x:c r="O32" s="15"/>
      <x:c r="P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23"/>
      <x:c r="K33" s="23" t="str">
        <x:f>IFERROR(MAX(0.5,ROUND(INDEX('Assumptions'!$D$5:$G$22,MATCH(C33,'Assumptions'!$A$5:$A$22,0),MATCH(D33,'Assumptions'!$D$4:$G$4,0))*0.75,1)),"")</x:f>
      </x:c>
      <x:c r="L33" s="23" t="str">
        <x:f>IFERROR(MAX(0.5,ROUND(INDEX('Assumptions'!$D$5:$G$22,MATCH(C33,'Assumptions'!$A$5:$A$22,0),MATCH(D33,'Assumptions'!$D$4:$G$4,0))*1.25,1)),"")</x:f>
      </x:c>
      <x:c r="M33" s="15"/>
      <x:c r="N33" s="15"/>
      <x:c r="O33" s="15"/>
      <x:c r="P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23"/>
      <x:c r="K34" s="23" t="str">
        <x:f>IFERROR(MAX(0.5,ROUND(INDEX('Assumptions'!$D$5:$G$22,MATCH(C34,'Assumptions'!$A$5:$A$22,0),MATCH(D34,'Assumptions'!$D$4:$G$4,0))*0.75,1)),"")</x:f>
      </x:c>
      <x:c r="L34" s="23" t="str">
        <x:f>IFERROR(MAX(0.5,ROUND(INDEX('Assumptions'!$D$5:$G$22,MATCH(C34,'Assumptions'!$A$5:$A$22,0),MATCH(D34,'Assumptions'!$D$4:$G$4,0))*1.25,1)),"")</x:f>
      </x:c>
      <x:c r="M34" s="15"/>
      <x:c r="N34" s="15"/>
      <x:c r="O34" s="15"/>
      <x:c r="P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23"/>
      <x:c r="K35" s="23" t="str">
        <x:f>IFERROR(MAX(0.5,ROUND(INDEX('Assumptions'!$D$5:$G$22,MATCH(C35,'Assumptions'!$A$5:$A$22,0),MATCH(D35,'Assumptions'!$D$4:$G$4,0))*0.75,1)),"")</x:f>
      </x:c>
      <x:c r="L35" s="23" t="str">
        <x:f>IFERROR(MAX(0.5,ROUND(INDEX('Assumptions'!$D$5:$G$22,MATCH(C35,'Assumptions'!$A$5:$A$22,0),MATCH(D35,'Assumptions'!$D$4:$G$4,0))*1.25,1)),"")</x:f>
      </x:c>
      <x:c r="M35" s="15"/>
      <x:c r="N35" s="15"/>
      <x:c r="O35" s="15"/>
      <x:c r="P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23"/>
      <x:c r="K36" s="23" t="str">
        <x:f>IFERROR(MAX(0.5,ROUND(INDEX('Assumptions'!$D$5:$G$22,MATCH(C36,'Assumptions'!$A$5:$A$22,0),MATCH(D36,'Assumptions'!$D$4:$G$4,0))*0.75,1)),"")</x:f>
      </x:c>
      <x:c r="L36" s="23" t="str">
        <x:f>IFERROR(MAX(0.5,ROUND(INDEX('Assumptions'!$D$5:$G$22,MATCH(C36,'Assumptions'!$A$5:$A$22,0),MATCH(D36,'Assumptions'!$D$4:$G$4,0))*1.25,1)),"")</x:f>
      </x:c>
      <x:c r="M36" s="15"/>
      <x:c r="N36" s="15"/>
      <x:c r="O36" s="15"/>
      <x:c r="P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23"/>
      <x:c r="K37" s="23" t="str">
        <x:f>IFERROR(MAX(0.5,ROUND(INDEX('Assumptions'!$D$5:$G$22,MATCH(C37,'Assumptions'!$A$5:$A$22,0),MATCH(D37,'Assumptions'!$D$4:$G$4,0))*0.75,1)),"")</x:f>
      </x:c>
      <x:c r="L37" s="23" t="str">
        <x:f>IFERROR(MAX(0.5,ROUND(INDEX('Assumptions'!$D$5:$G$22,MATCH(C37,'Assumptions'!$A$5:$A$22,0),MATCH(D37,'Assumptions'!$D$4:$G$4,0))*1.25,1)),"")</x:f>
      </x:c>
      <x:c r="M37" s="15"/>
      <x:c r="N37" s="15"/>
      <x:c r="O37" s="15"/>
      <x:c r="P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23"/>
      <x:c r="K38" s="23" t="str">
        <x:f>IFERROR(MAX(0.5,ROUND(INDEX('Assumptions'!$D$5:$G$22,MATCH(C38,'Assumptions'!$A$5:$A$22,0),MATCH(D38,'Assumptions'!$D$4:$G$4,0))*0.75,1)),"")</x:f>
      </x:c>
      <x:c r="L38" s="23" t="str">
        <x:f>IFERROR(MAX(0.5,ROUND(INDEX('Assumptions'!$D$5:$G$22,MATCH(C38,'Assumptions'!$A$5:$A$22,0),MATCH(D38,'Assumptions'!$D$4:$G$4,0))*1.25,1)),"")</x:f>
      </x:c>
      <x:c r="M38" s="15"/>
      <x:c r="N38" s="15"/>
      <x:c r="O38" s="15"/>
      <x:c r="P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23"/>
      <x:c r="K39" s="23" t="str">
        <x:f>IFERROR(MAX(0.5,ROUND(INDEX('Assumptions'!$D$5:$G$22,MATCH(C39,'Assumptions'!$A$5:$A$22,0),MATCH(D39,'Assumptions'!$D$4:$G$4,0))*0.75,1)),"")</x:f>
      </x:c>
      <x:c r="L39" s="23" t="str">
        <x:f>IFERROR(MAX(0.5,ROUND(INDEX('Assumptions'!$D$5:$G$22,MATCH(C39,'Assumptions'!$A$5:$A$22,0),MATCH(D39,'Assumptions'!$D$4:$G$4,0))*1.25,1)),"")</x:f>
      </x:c>
      <x:c r="M39" s="15"/>
      <x:c r="N39" s="15"/>
      <x:c r="O39" s="15"/>
      <x:c r="P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23"/>
      <x:c r="K40" s="23" t="str">
        <x:f>IFERROR(MAX(0.5,ROUND(INDEX('Assumptions'!$D$5:$G$22,MATCH(C40,'Assumptions'!$A$5:$A$22,0),MATCH(D40,'Assumptions'!$D$4:$G$4,0))*0.75,1)),"")</x:f>
      </x:c>
      <x:c r="L40" s="23" t="str">
        <x:f>IFERROR(MAX(0.5,ROUND(INDEX('Assumptions'!$D$5:$G$22,MATCH(C40,'Assumptions'!$A$5:$A$22,0),MATCH(D40,'Assumptions'!$D$4:$G$4,0))*1.25,1)),"")</x:f>
      </x:c>
      <x:c r="M40" s="15"/>
      <x:c r="N40" s="15"/>
      <x:c r="O40" s="15"/>
      <x:c r="P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23"/>
      <x:c r="K41" s="23" t="str">
        <x:f>IFERROR(MAX(0.5,ROUND(INDEX('Assumptions'!$D$5:$G$22,MATCH(C41,'Assumptions'!$A$5:$A$22,0),MATCH(D41,'Assumptions'!$D$4:$G$4,0))*0.75,1)),"")</x:f>
      </x:c>
      <x:c r="L41" s="23" t="str">
        <x:f>IFERROR(MAX(0.5,ROUND(INDEX('Assumptions'!$D$5:$G$22,MATCH(C41,'Assumptions'!$A$5:$A$22,0),MATCH(D41,'Assumptions'!$D$4:$G$4,0))*1.25,1)),"")</x:f>
      </x:c>
      <x:c r="M41" s="15"/>
      <x:c r="N41" s="15"/>
      <x:c r="O41" s="15"/>
      <x:c r="P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23"/>
      <x:c r="K42" s="23" t="str">
        <x:f>IFERROR(MAX(0.5,ROUND(INDEX('Assumptions'!$D$5:$G$22,MATCH(C42,'Assumptions'!$A$5:$A$22,0),MATCH(D42,'Assumptions'!$D$4:$G$4,0))*0.75,1)),"")</x:f>
      </x:c>
      <x:c r="L42" s="23" t="str">
        <x:f>IFERROR(MAX(0.5,ROUND(INDEX('Assumptions'!$D$5:$G$22,MATCH(C42,'Assumptions'!$A$5:$A$22,0),MATCH(D42,'Assumptions'!$D$4:$G$4,0))*1.25,1)),"")</x:f>
      </x:c>
      <x:c r="M42" s="15"/>
      <x:c r="N42" s="15"/>
      <x:c r="O42" s="15"/>
      <x:c r="P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23"/>
      <x:c r="K43" s="23" t="str">
        <x:f>IFERROR(MAX(0.5,ROUND(INDEX('Assumptions'!$D$5:$G$22,MATCH(C43,'Assumptions'!$A$5:$A$22,0),MATCH(D43,'Assumptions'!$D$4:$G$4,0))*0.75,1)),"")</x:f>
      </x:c>
      <x:c r="L43" s="23" t="str">
        <x:f>IFERROR(MAX(0.5,ROUND(INDEX('Assumptions'!$D$5:$G$22,MATCH(C43,'Assumptions'!$A$5:$A$22,0),MATCH(D43,'Assumptions'!$D$4:$G$4,0))*1.25,1)),"")</x:f>
      </x:c>
      <x:c r="M43" s="15"/>
      <x:c r="N43" s="15"/>
      <x:c r="O43" s="15"/>
      <x:c r="P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23"/>
      <x:c r="K44" s="23" t="str">
        <x:f>IFERROR(MAX(0.5,ROUND(INDEX('Assumptions'!$D$5:$G$22,MATCH(C44,'Assumptions'!$A$5:$A$22,0),MATCH(D44,'Assumptions'!$D$4:$G$4,0))*0.75,1)),"")</x:f>
      </x:c>
      <x:c r="L44" s="23" t="str">
        <x:f>IFERROR(MAX(0.5,ROUND(INDEX('Assumptions'!$D$5:$G$22,MATCH(C44,'Assumptions'!$A$5:$A$22,0),MATCH(D44,'Assumptions'!$D$4:$G$4,0))*1.25,1)),"")</x:f>
      </x:c>
      <x:c r="M44" s="15"/>
      <x:c r="N44" s="15"/>
      <x:c r="O44" s="15"/>
      <x:c r="P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23"/>
      <x:c r="K45" s="23" t="str">
        <x:f>IFERROR(MAX(0.5,ROUND(INDEX('Assumptions'!$D$5:$G$22,MATCH(C45,'Assumptions'!$A$5:$A$22,0),MATCH(D45,'Assumptions'!$D$4:$G$4,0))*0.75,1)),"")</x:f>
      </x:c>
      <x:c r="L45" s="23" t="str">
        <x:f>IFERROR(MAX(0.5,ROUND(INDEX('Assumptions'!$D$5:$G$22,MATCH(C45,'Assumptions'!$A$5:$A$22,0),MATCH(D45,'Assumptions'!$D$4:$G$4,0))*1.25,1)),"")</x:f>
      </x:c>
      <x:c r="M45" s="15"/>
      <x:c r="N45" s="15"/>
      <x:c r="O45" s="15"/>
      <x:c r="P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23"/>
      <x:c r="K46" s="23" t="str">
        <x:f>IFERROR(MAX(0.5,ROUND(INDEX('Assumptions'!$D$5:$G$22,MATCH(C46,'Assumptions'!$A$5:$A$22,0),MATCH(D46,'Assumptions'!$D$4:$G$4,0))*0.75,1)),"")</x:f>
      </x:c>
      <x:c r="L46" s="23" t="str">
        <x:f>IFERROR(MAX(0.5,ROUND(INDEX('Assumptions'!$D$5:$G$22,MATCH(C46,'Assumptions'!$A$5:$A$22,0),MATCH(D46,'Assumptions'!$D$4:$G$4,0))*1.25,1)),"")</x:f>
      </x:c>
      <x:c r="M46" s="15"/>
      <x:c r="N46" s="15"/>
      <x:c r="O46" s="15"/>
      <x:c r="P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23"/>
      <x:c r="K47" s="23" t="str">
        <x:f>IFERROR(MAX(0.5,ROUND(INDEX('Assumptions'!$D$5:$G$22,MATCH(C47,'Assumptions'!$A$5:$A$22,0),MATCH(D47,'Assumptions'!$D$4:$G$4,0))*0.75,1)),"")</x:f>
      </x:c>
      <x:c r="L47" s="23" t="str">
        <x:f>IFERROR(MAX(0.5,ROUND(INDEX('Assumptions'!$D$5:$G$22,MATCH(C47,'Assumptions'!$A$5:$A$22,0),MATCH(D47,'Assumptions'!$D$4:$G$4,0))*1.25,1)),"")</x:f>
      </x:c>
      <x:c r="M47" s="15"/>
      <x:c r="N47" s="15"/>
      <x:c r="O47" s="15"/>
      <x:c r="P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23"/>
      <x:c r="K48" s="23" t="str">
        <x:f>IFERROR(MAX(0.5,ROUND(INDEX('Assumptions'!$D$5:$G$22,MATCH(C48,'Assumptions'!$A$5:$A$22,0),MATCH(D48,'Assumptions'!$D$4:$G$4,0))*0.75,1)),"")</x:f>
      </x:c>
      <x:c r="L48" s="23" t="str">
        <x:f>IFERROR(MAX(0.5,ROUND(INDEX('Assumptions'!$D$5:$G$22,MATCH(C48,'Assumptions'!$A$5:$A$22,0),MATCH(D48,'Assumptions'!$D$4:$G$4,0))*1.25,1)),"")</x:f>
      </x:c>
      <x:c r="M48" s="15"/>
      <x:c r="N48" s="15"/>
      <x:c r="O48" s="15"/>
      <x:c r="P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23"/>
      <x:c r="K49" s="23" t="str">
        <x:f>IFERROR(MAX(0.5,ROUND(INDEX('Assumptions'!$D$5:$G$22,MATCH(C49,'Assumptions'!$A$5:$A$22,0),MATCH(D49,'Assumptions'!$D$4:$G$4,0))*0.75,1)),"")</x:f>
      </x:c>
      <x:c r="L49" s="23" t="str">
        <x:f>IFERROR(MAX(0.5,ROUND(INDEX('Assumptions'!$D$5:$G$22,MATCH(C49,'Assumptions'!$A$5:$A$22,0),MATCH(D49,'Assumptions'!$D$4:$G$4,0))*1.25,1)),"")</x:f>
      </x:c>
      <x:c r="M49" s="15"/>
      <x:c r="N49" s="15"/>
      <x:c r="O49" s="15"/>
      <x:c r="P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23"/>
      <x:c r="K50" s="23" t="str">
        <x:f>IFERROR(MAX(0.5,ROUND(INDEX('Assumptions'!$D$5:$G$22,MATCH(C50,'Assumptions'!$A$5:$A$22,0),MATCH(D50,'Assumptions'!$D$4:$G$4,0))*0.75,1)),"")</x:f>
      </x:c>
      <x:c r="L50" s="23" t="str">
        <x:f>IFERROR(MAX(0.5,ROUND(INDEX('Assumptions'!$D$5:$G$22,MATCH(C50,'Assumptions'!$A$5:$A$22,0),MATCH(D50,'Assumptions'!$D$4:$G$4,0))*1.25,1)),"")</x:f>
      </x:c>
      <x:c r="M50" s="15"/>
      <x:c r="N50" s="15"/>
      <x:c r="O50" s="15"/>
      <x:c r="P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23"/>
      <x:c r="K51" s="23" t="str">
        <x:f>IFERROR(MAX(0.5,ROUND(INDEX('Assumptions'!$D$5:$G$22,MATCH(C51,'Assumptions'!$A$5:$A$22,0),MATCH(D51,'Assumptions'!$D$4:$G$4,0))*0.75,1)),"")</x:f>
      </x:c>
      <x:c r="L51" s="23" t="str">
        <x:f>IFERROR(MAX(0.5,ROUND(INDEX('Assumptions'!$D$5:$G$22,MATCH(C51,'Assumptions'!$A$5:$A$22,0),MATCH(D51,'Assumptions'!$D$4:$G$4,0))*1.25,1)),"")</x:f>
      </x:c>
      <x:c r="M51" s="15"/>
      <x:c r="N51" s="15"/>
      <x:c r="O51" s="15"/>
      <x:c r="P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23"/>
      <x:c r="K52" s="23" t="str">
        <x:f>IFERROR(MAX(0.5,ROUND(INDEX('Assumptions'!$D$5:$G$22,MATCH(C52,'Assumptions'!$A$5:$A$22,0),MATCH(D52,'Assumptions'!$D$4:$G$4,0))*0.75,1)),"")</x:f>
      </x:c>
      <x:c r="L52" s="23" t="str">
        <x:f>IFERROR(MAX(0.5,ROUND(INDEX('Assumptions'!$D$5:$G$22,MATCH(C52,'Assumptions'!$A$5:$A$22,0),MATCH(D52,'Assumptions'!$D$4:$G$4,0))*1.25,1)),"")</x:f>
      </x:c>
      <x:c r="M52" s="15"/>
      <x:c r="N52" s="15"/>
      <x:c r="O52" s="15"/>
      <x:c r="P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23"/>
      <x:c r="K53" s="23" t="str">
        <x:f>IFERROR(MAX(0.5,ROUND(INDEX('Assumptions'!$D$5:$G$22,MATCH(C53,'Assumptions'!$A$5:$A$22,0),MATCH(D53,'Assumptions'!$D$4:$G$4,0))*0.75,1)),"")</x:f>
      </x:c>
      <x:c r="L53" s="23" t="str">
        <x:f>IFERROR(MAX(0.5,ROUND(INDEX('Assumptions'!$D$5:$G$22,MATCH(C53,'Assumptions'!$A$5:$A$22,0),MATCH(D53,'Assumptions'!$D$4:$G$4,0))*1.25,1)),"")</x:f>
      </x:c>
      <x:c r="M53" s="15"/>
      <x:c r="N53" s="15"/>
      <x:c r="O53" s="15"/>
      <x:c r="P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23"/>
      <x:c r="K54" s="23" t="str">
        <x:f>IFERROR(MAX(0.5,ROUND(INDEX('Assumptions'!$D$5:$G$22,MATCH(C54,'Assumptions'!$A$5:$A$22,0),MATCH(D54,'Assumptions'!$D$4:$G$4,0))*0.75,1)),"")</x:f>
      </x:c>
      <x:c r="L54" s="23" t="str">
        <x:f>IFERROR(MAX(0.5,ROUND(INDEX('Assumptions'!$D$5:$G$22,MATCH(C54,'Assumptions'!$A$5:$A$22,0),MATCH(D54,'Assumptions'!$D$4:$G$4,0))*1.25,1)),"")</x:f>
      </x:c>
      <x:c r="M54" s="15"/>
      <x:c r="N54" s="15"/>
      <x:c r="O54" s="15"/>
      <x:c r="P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23"/>
      <x:c r="K55" s="23" t="str">
        <x:f>IFERROR(MAX(0.5,ROUND(INDEX('Assumptions'!$D$5:$G$22,MATCH(C55,'Assumptions'!$A$5:$A$22,0),MATCH(D55,'Assumptions'!$D$4:$G$4,0))*0.75,1)),"")</x:f>
      </x:c>
      <x:c r="L55" s="23" t="str">
        <x:f>IFERROR(MAX(0.5,ROUND(INDEX('Assumptions'!$D$5:$G$22,MATCH(C55,'Assumptions'!$A$5:$A$22,0),MATCH(D55,'Assumptions'!$D$4:$G$4,0))*1.25,1)),"")</x:f>
      </x:c>
      <x:c r="M55" s="15"/>
      <x:c r="N55" s="15"/>
      <x:c r="O55" s="15"/>
      <x:c r="P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23"/>
      <x:c r="K56" s="23" t="str">
        <x:f>IFERROR(MAX(0.5,ROUND(INDEX('Assumptions'!$D$5:$G$22,MATCH(C56,'Assumptions'!$A$5:$A$22,0),MATCH(D56,'Assumptions'!$D$4:$G$4,0))*0.75,1)),"")</x:f>
      </x:c>
      <x:c r="L56" s="23" t="str">
        <x:f>IFERROR(MAX(0.5,ROUND(INDEX('Assumptions'!$D$5:$G$22,MATCH(C56,'Assumptions'!$A$5:$A$22,0),MATCH(D56,'Assumptions'!$D$4:$G$4,0))*1.25,1)),"")</x:f>
      </x:c>
      <x:c r="M56" s="15"/>
      <x:c r="N56" s="15"/>
      <x:c r="O56" s="15"/>
      <x:c r="P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23"/>
      <x:c r="K57" s="23" t="str">
        <x:f>IFERROR(MAX(0.5,ROUND(INDEX('Assumptions'!$D$5:$G$22,MATCH(C57,'Assumptions'!$A$5:$A$22,0),MATCH(D57,'Assumptions'!$D$4:$G$4,0))*0.75,1)),"")</x:f>
      </x:c>
      <x:c r="L57" s="23" t="str">
        <x:f>IFERROR(MAX(0.5,ROUND(INDEX('Assumptions'!$D$5:$G$22,MATCH(C57,'Assumptions'!$A$5:$A$22,0),MATCH(D57,'Assumptions'!$D$4:$G$4,0))*1.25,1)),"")</x:f>
      </x:c>
      <x:c r="M57" s="15"/>
      <x:c r="N57" s="15"/>
      <x:c r="O57" s="15"/>
      <x:c r="P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23"/>
      <x:c r="K58" s="23" t="str">
        <x:f>IFERROR(MAX(0.5,ROUND(INDEX('Assumptions'!$D$5:$G$22,MATCH(C58,'Assumptions'!$A$5:$A$22,0),MATCH(D58,'Assumptions'!$D$4:$G$4,0))*0.75,1)),"")</x:f>
      </x:c>
      <x:c r="L58" s="23" t="str">
        <x:f>IFERROR(MAX(0.5,ROUND(INDEX('Assumptions'!$D$5:$G$22,MATCH(C58,'Assumptions'!$A$5:$A$22,0),MATCH(D58,'Assumptions'!$D$4:$G$4,0))*1.25,1)),"")</x:f>
      </x:c>
      <x:c r="M58" s="15"/>
      <x:c r="N58" s="15"/>
      <x:c r="O58" s="15"/>
      <x:c r="P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23"/>
      <x:c r="K59" s="23" t="str">
        <x:f>IFERROR(MAX(0.5,ROUND(INDEX('Assumptions'!$D$5:$G$22,MATCH(C59,'Assumptions'!$A$5:$A$22,0),MATCH(D59,'Assumptions'!$D$4:$G$4,0))*0.75,1)),"")</x:f>
      </x:c>
      <x:c r="L59" s="23" t="str">
        <x:f>IFERROR(MAX(0.5,ROUND(INDEX('Assumptions'!$D$5:$G$22,MATCH(C59,'Assumptions'!$A$5:$A$22,0),MATCH(D59,'Assumptions'!$D$4:$G$4,0))*1.25,1)),"")</x:f>
      </x:c>
      <x:c r="M59" s="15"/>
      <x:c r="N59" s="15"/>
      <x:c r="O59" s="15"/>
      <x:c r="P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23"/>
      <x:c r="K60" s="23" t="str">
        <x:f>IFERROR(MAX(0.5,ROUND(INDEX('Assumptions'!$D$5:$G$22,MATCH(C60,'Assumptions'!$A$5:$A$22,0),MATCH(D60,'Assumptions'!$D$4:$G$4,0))*0.75,1)),"")</x:f>
      </x:c>
      <x:c r="L60" s="23" t="str">
        <x:f>IFERROR(MAX(0.5,ROUND(INDEX('Assumptions'!$D$5:$G$22,MATCH(C60,'Assumptions'!$A$5:$A$22,0),MATCH(D60,'Assumptions'!$D$4:$G$4,0))*1.25,1)),"")</x:f>
      </x:c>
      <x:c r="M60" s="15"/>
      <x:c r="N60" s="15"/>
      <x:c r="O60" s="15"/>
      <x:c r="P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23"/>
      <x:c r="K61" s="23" t="str">
        <x:f>IFERROR(MAX(0.5,ROUND(INDEX('Assumptions'!$D$5:$G$22,MATCH(C61,'Assumptions'!$A$5:$A$22,0),MATCH(D61,'Assumptions'!$D$4:$G$4,0))*0.75,1)),"")</x:f>
      </x:c>
      <x:c r="L61" s="23" t="str">
        <x:f>IFERROR(MAX(0.5,ROUND(INDEX('Assumptions'!$D$5:$G$22,MATCH(C61,'Assumptions'!$A$5:$A$22,0),MATCH(D61,'Assumptions'!$D$4:$G$4,0))*1.25,1)),"")</x:f>
      </x:c>
      <x:c r="M61" s="15"/>
      <x:c r="N61" s="15"/>
      <x:c r="O61" s="15"/>
      <x:c r="P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23"/>
      <x:c r="K62" s="23" t="str">
        <x:f>IFERROR(MAX(0.5,ROUND(INDEX('Assumptions'!$D$5:$G$22,MATCH(C62,'Assumptions'!$A$5:$A$22,0),MATCH(D62,'Assumptions'!$D$4:$G$4,0))*0.75,1)),"")</x:f>
      </x:c>
      <x:c r="L62" s="23" t="str">
        <x:f>IFERROR(MAX(0.5,ROUND(INDEX('Assumptions'!$D$5:$G$22,MATCH(C62,'Assumptions'!$A$5:$A$22,0),MATCH(D62,'Assumptions'!$D$4:$G$4,0))*1.25,1)),"")</x:f>
      </x:c>
      <x:c r="M62" s="15"/>
      <x:c r="N62" s="15"/>
      <x:c r="O62" s="15"/>
      <x:c r="P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23"/>
      <x:c r="K63" s="23" t="str">
        <x:f>IFERROR(MAX(0.5,ROUND(INDEX('Assumptions'!$D$5:$G$22,MATCH(C63,'Assumptions'!$A$5:$A$22,0),MATCH(D63,'Assumptions'!$D$4:$G$4,0))*0.75,1)),"")</x:f>
      </x:c>
      <x:c r="L63" s="23" t="str">
        <x:f>IFERROR(MAX(0.5,ROUND(INDEX('Assumptions'!$D$5:$G$22,MATCH(C63,'Assumptions'!$A$5:$A$22,0),MATCH(D63,'Assumptions'!$D$4:$G$4,0))*1.25,1)),"")</x:f>
      </x:c>
      <x:c r="M63" s="15"/>
      <x:c r="N63" s="15"/>
      <x:c r="O63" s="15"/>
      <x:c r="P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23"/>
      <x:c r="K64" s="23" t="str">
        <x:f>IFERROR(MAX(0.5,ROUND(INDEX('Assumptions'!$D$5:$G$22,MATCH(C64,'Assumptions'!$A$5:$A$22,0),MATCH(D64,'Assumptions'!$D$4:$G$4,0))*0.75,1)),"")</x:f>
      </x:c>
      <x:c r="L64" s="23" t="str">
        <x:f>IFERROR(MAX(0.5,ROUND(INDEX('Assumptions'!$D$5:$G$22,MATCH(C64,'Assumptions'!$A$5:$A$22,0),MATCH(D64,'Assumptions'!$D$4:$G$4,0))*1.25,1)),"")</x:f>
      </x:c>
      <x:c r="M64" s="15"/>
      <x:c r="N64" s="15"/>
      <x:c r="O64" s="15"/>
      <x:c r="P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23"/>
      <x:c r="K65" s="23" t="str">
        <x:f>IFERROR(MAX(0.5,ROUND(INDEX('Assumptions'!$D$5:$G$22,MATCH(C65,'Assumptions'!$A$5:$A$22,0),MATCH(D65,'Assumptions'!$D$4:$G$4,0))*0.75,1)),"")</x:f>
      </x:c>
      <x:c r="L65" s="23" t="str">
        <x:f>IFERROR(MAX(0.5,ROUND(INDEX('Assumptions'!$D$5:$G$22,MATCH(C65,'Assumptions'!$A$5:$A$22,0),MATCH(D65,'Assumptions'!$D$4:$G$4,0))*1.25,1)),"")</x:f>
      </x:c>
      <x:c r="M65" s="15"/>
      <x:c r="N65" s="15"/>
      <x:c r="O65" s="15"/>
      <x:c r="P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23"/>
      <x:c r="K66" s="23" t="str">
        <x:f>IFERROR(MAX(0.5,ROUND(INDEX('Assumptions'!$D$5:$G$22,MATCH(C66,'Assumptions'!$A$5:$A$22,0),MATCH(D66,'Assumptions'!$D$4:$G$4,0))*0.75,1)),"")</x:f>
      </x:c>
      <x:c r="L66" s="23" t="str">
        <x:f>IFERROR(MAX(0.5,ROUND(INDEX('Assumptions'!$D$5:$G$22,MATCH(C66,'Assumptions'!$A$5:$A$22,0),MATCH(D66,'Assumptions'!$D$4:$G$4,0))*1.25,1)),"")</x:f>
      </x:c>
      <x:c r="M66" s="15"/>
      <x:c r="N66" s="15"/>
      <x:c r="O66" s="15"/>
      <x:c r="P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23"/>
      <x:c r="K67" s="23" t="str">
        <x:f>IFERROR(MAX(0.5,ROUND(INDEX('Assumptions'!$D$5:$G$22,MATCH(C67,'Assumptions'!$A$5:$A$22,0),MATCH(D67,'Assumptions'!$D$4:$G$4,0))*0.75,1)),"")</x:f>
      </x:c>
      <x:c r="L67" s="23" t="str">
        <x:f>IFERROR(MAX(0.5,ROUND(INDEX('Assumptions'!$D$5:$G$22,MATCH(C67,'Assumptions'!$A$5:$A$22,0),MATCH(D67,'Assumptions'!$D$4:$G$4,0))*1.25,1)),"")</x:f>
      </x:c>
      <x:c r="M67" s="15"/>
      <x:c r="N67" s="15"/>
      <x:c r="O67" s="15"/>
      <x:c r="P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23"/>
      <x:c r="K68" s="23" t="str">
        <x:f>IFERROR(MAX(0.5,ROUND(INDEX('Assumptions'!$D$5:$G$22,MATCH(C68,'Assumptions'!$A$5:$A$22,0),MATCH(D68,'Assumptions'!$D$4:$G$4,0))*0.75,1)),"")</x:f>
      </x:c>
      <x:c r="L68" s="23" t="str">
        <x:f>IFERROR(MAX(0.5,ROUND(INDEX('Assumptions'!$D$5:$G$22,MATCH(C68,'Assumptions'!$A$5:$A$22,0),MATCH(D68,'Assumptions'!$D$4:$G$4,0))*1.25,1)),"")</x:f>
      </x:c>
      <x:c r="M68" s="15"/>
      <x:c r="N68" s="15"/>
      <x:c r="O68" s="15"/>
      <x:c r="P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23"/>
      <x:c r="K69" s="23" t="str">
        <x:f>IFERROR(MAX(0.5,ROUND(INDEX('Assumptions'!$D$5:$G$22,MATCH(C69,'Assumptions'!$A$5:$A$22,0),MATCH(D69,'Assumptions'!$D$4:$G$4,0))*0.75,1)),"")</x:f>
      </x:c>
      <x:c r="L69" s="23" t="str">
        <x:f>IFERROR(MAX(0.5,ROUND(INDEX('Assumptions'!$D$5:$G$22,MATCH(C69,'Assumptions'!$A$5:$A$22,0),MATCH(D69,'Assumptions'!$D$4:$G$4,0))*1.25,1)),"")</x:f>
      </x:c>
      <x:c r="M69" s="15"/>
      <x:c r="N69" s="15"/>
      <x:c r="O69" s="15"/>
      <x:c r="P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23"/>
      <x:c r="K70" s="23" t="str">
        <x:f>IFERROR(MAX(0.5,ROUND(INDEX('Assumptions'!$D$5:$G$22,MATCH(C70,'Assumptions'!$A$5:$A$22,0),MATCH(D70,'Assumptions'!$D$4:$G$4,0))*0.75,1)),"")</x:f>
      </x:c>
      <x:c r="L70" s="23" t="str">
        <x:f>IFERROR(MAX(0.5,ROUND(INDEX('Assumptions'!$D$5:$G$22,MATCH(C70,'Assumptions'!$A$5:$A$22,0),MATCH(D70,'Assumptions'!$D$4:$G$4,0))*1.25,1)),"")</x:f>
      </x:c>
      <x:c r="M70" s="15"/>
      <x:c r="N70" s="15"/>
      <x:c r="O70" s="15"/>
      <x:c r="P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23"/>
      <x:c r="K71" s="23" t="str">
        <x:f>IFERROR(MAX(0.5,ROUND(INDEX('Assumptions'!$D$5:$G$22,MATCH(C71,'Assumptions'!$A$5:$A$22,0),MATCH(D71,'Assumptions'!$D$4:$G$4,0))*0.75,1)),"")</x:f>
      </x:c>
      <x:c r="L71" s="23" t="str">
        <x:f>IFERROR(MAX(0.5,ROUND(INDEX('Assumptions'!$D$5:$G$22,MATCH(C71,'Assumptions'!$A$5:$A$22,0),MATCH(D71,'Assumptions'!$D$4:$G$4,0))*1.25,1)),"")</x:f>
      </x:c>
      <x:c r="M71" s="15"/>
      <x:c r="N71" s="15"/>
      <x:c r="O71" s="15"/>
      <x:c r="P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23"/>
      <x:c r="K72" s="23" t="str">
        <x:f>IFERROR(MAX(0.5,ROUND(INDEX('Assumptions'!$D$5:$G$22,MATCH(C72,'Assumptions'!$A$5:$A$22,0),MATCH(D72,'Assumptions'!$D$4:$G$4,0))*0.75,1)),"")</x:f>
      </x:c>
      <x:c r="L72" s="23" t="str">
        <x:f>IFERROR(MAX(0.5,ROUND(INDEX('Assumptions'!$D$5:$G$22,MATCH(C72,'Assumptions'!$A$5:$A$22,0),MATCH(D72,'Assumptions'!$D$4:$G$4,0))*1.25,1)),"")</x:f>
      </x:c>
      <x:c r="M72" s="15"/>
      <x:c r="N72" s="15"/>
      <x:c r="O72" s="15"/>
      <x:c r="P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23"/>
      <x:c r="K73" s="23" t="str">
        <x:f>IFERROR(MAX(0.5,ROUND(INDEX('Assumptions'!$D$5:$G$22,MATCH(C73,'Assumptions'!$A$5:$A$22,0),MATCH(D73,'Assumptions'!$D$4:$G$4,0))*0.75,1)),"")</x:f>
      </x:c>
      <x:c r="L73" s="23" t="str">
        <x:f>IFERROR(MAX(0.5,ROUND(INDEX('Assumptions'!$D$5:$G$22,MATCH(C73,'Assumptions'!$A$5:$A$22,0),MATCH(D73,'Assumptions'!$D$4:$G$4,0))*1.25,1)),"")</x:f>
      </x:c>
      <x:c r="M73" s="15"/>
      <x:c r="N73" s="15"/>
      <x:c r="O73" s="15"/>
      <x:c r="P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23"/>
      <x:c r="K74" s="23" t="str">
        <x:f>IFERROR(MAX(0.5,ROUND(INDEX('Assumptions'!$D$5:$G$22,MATCH(C74,'Assumptions'!$A$5:$A$22,0),MATCH(D74,'Assumptions'!$D$4:$G$4,0))*0.75,1)),"")</x:f>
      </x:c>
      <x:c r="L74" s="23" t="str">
        <x:f>IFERROR(MAX(0.5,ROUND(INDEX('Assumptions'!$D$5:$G$22,MATCH(C74,'Assumptions'!$A$5:$A$22,0),MATCH(D74,'Assumptions'!$D$4:$G$4,0))*1.25,1)),"")</x:f>
      </x:c>
      <x:c r="M74" s="15"/>
      <x:c r="N74" s="15"/>
      <x:c r="O74" s="15"/>
      <x:c r="P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23"/>
      <x:c r="K75" s="23" t="str">
        <x:f>IFERROR(MAX(0.5,ROUND(INDEX('Assumptions'!$D$5:$G$22,MATCH(C75,'Assumptions'!$A$5:$A$22,0),MATCH(D75,'Assumptions'!$D$4:$G$4,0))*0.75,1)),"")</x:f>
      </x:c>
      <x:c r="L75" s="23" t="str">
        <x:f>IFERROR(MAX(0.5,ROUND(INDEX('Assumptions'!$D$5:$G$22,MATCH(C75,'Assumptions'!$A$5:$A$22,0),MATCH(D75,'Assumptions'!$D$4:$G$4,0))*1.25,1)),"")</x:f>
      </x:c>
      <x:c r="M75" s="15"/>
      <x:c r="N75" s="15"/>
      <x:c r="O75" s="15"/>
      <x:c r="P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23"/>
      <x:c r="K76" s="23" t="str">
        <x:f>IFERROR(MAX(0.5,ROUND(INDEX('Assumptions'!$D$5:$G$22,MATCH(C76,'Assumptions'!$A$5:$A$22,0),MATCH(D76,'Assumptions'!$D$4:$G$4,0))*0.75,1)),"")</x:f>
      </x:c>
      <x:c r="L76" s="23" t="str">
        <x:f>IFERROR(MAX(0.5,ROUND(INDEX('Assumptions'!$D$5:$G$22,MATCH(C76,'Assumptions'!$A$5:$A$22,0),MATCH(D76,'Assumptions'!$D$4:$G$4,0))*1.25,1)),"")</x:f>
      </x:c>
      <x:c r="M76" s="15"/>
      <x:c r="N76" s="15"/>
      <x:c r="O76" s="15"/>
      <x:c r="P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23"/>
      <x:c r="K77" s="23" t="str">
        <x:f>IFERROR(MAX(0.5,ROUND(INDEX('Assumptions'!$D$5:$G$22,MATCH(C77,'Assumptions'!$A$5:$A$22,0),MATCH(D77,'Assumptions'!$D$4:$G$4,0))*0.75,1)),"")</x:f>
      </x:c>
      <x:c r="L77" s="23" t="str">
        <x:f>IFERROR(MAX(0.5,ROUND(INDEX('Assumptions'!$D$5:$G$22,MATCH(C77,'Assumptions'!$A$5:$A$22,0),MATCH(D77,'Assumptions'!$D$4:$G$4,0))*1.25,1)),"")</x:f>
      </x:c>
      <x:c r="M77" s="15"/>
      <x:c r="N77" s="15"/>
      <x:c r="O77" s="15"/>
      <x:c r="P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23"/>
      <x:c r="K78" s="23" t="str">
        <x:f>IFERROR(MAX(0.5,ROUND(INDEX('Assumptions'!$D$5:$G$22,MATCH(C78,'Assumptions'!$A$5:$A$22,0),MATCH(D78,'Assumptions'!$D$4:$G$4,0))*0.75,1)),"")</x:f>
      </x:c>
      <x:c r="L78" s="23" t="str">
        <x:f>IFERROR(MAX(0.5,ROUND(INDEX('Assumptions'!$D$5:$G$22,MATCH(C78,'Assumptions'!$A$5:$A$22,0),MATCH(D78,'Assumptions'!$D$4:$G$4,0))*1.25,1)),"")</x:f>
      </x:c>
      <x:c r="M78" s="15"/>
      <x:c r="N78" s="15"/>
      <x:c r="O78" s="15"/>
      <x:c r="P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23"/>
      <x:c r="K79" s="23" t="str">
        <x:f>IFERROR(MAX(0.5,ROUND(INDEX('Assumptions'!$D$5:$G$22,MATCH(C79,'Assumptions'!$A$5:$A$22,0),MATCH(D79,'Assumptions'!$D$4:$G$4,0))*0.75,1)),"")</x:f>
      </x:c>
      <x:c r="L79" s="23" t="str">
        <x:f>IFERROR(MAX(0.5,ROUND(INDEX('Assumptions'!$D$5:$G$22,MATCH(C79,'Assumptions'!$A$5:$A$22,0),MATCH(D79,'Assumptions'!$D$4:$G$4,0))*1.25,1)),"")</x:f>
      </x:c>
      <x:c r="M79" s="15"/>
      <x:c r="N79" s="15"/>
      <x:c r="O79" s="15"/>
      <x:c r="P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23"/>
      <x:c r="K80" s="23" t="str">
        <x:f>IFERROR(MAX(0.5,ROUND(INDEX('Assumptions'!$D$5:$G$22,MATCH(C80,'Assumptions'!$A$5:$A$22,0),MATCH(D80,'Assumptions'!$D$4:$G$4,0))*0.75,1)),"")</x:f>
      </x:c>
      <x:c r="L80" s="23" t="str">
        <x:f>IFERROR(MAX(0.5,ROUND(INDEX('Assumptions'!$D$5:$G$22,MATCH(C80,'Assumptions'!$A$5:$A$22,0),MATCH(D80,'Assumptions'!$D$4:$G$4,0))*1.25,1)),"")</x:f>
      </x:c>
      <x:c r="M80" s="15"/>
      <x:c r="N80" s="15"/>
      <x:c r="O80" s="15"/>
      <x:c r="P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23"/>
      <x:c r="K81" s="23" t="str">
        <x:f>IFERROR(MAX(0.5,ROUND(INDEX('Assumptions'!$D$5:$G$22,MATCH(C81,'Assumptions'!$A$5:$A$22,0),MATCH(D81,'Assumptions'!$D$4:$G$4,0))*0.75,1)),"")</x:f>
      </x:c>
      <x:c r="L81" s="23" t="str">
        <x:f>IFERROR(MAX(0.5,ROUND(INDEX('Assumptions'!$D$5:$G$22,MATCH(C81,'Assumptions'!$A$5:$A$22,0),MATCH(D81,'Assumptions'!$D$4:$G$4,0))*1.25,1)),"")</x:f>
      </x:c>
      <x:c r="M81" s="15"/>
      <x:c r="N81" s="15"/>
      <x:c r="O81" s="15"/>
      <x:c r="P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23"/>
      <x:c r="K82" s="23" t="str">
        <x:f>IFERROR(MAX(0.5,ROUND(INDEX('Assumptions'!$D$5:$G$22,MATCH(C82,'Assumptions'!$A$5:$A$22,0),MATCH(D82,'Assumptions'!$D$4:$G$4,0))*0.75,1)),"")</x:f>
      </x:c>
      <x:c r="L82" s="23" t="str">
        <x:f>IFERROR(MAX(0.5,ROUND(INDEX('Assumptions'!$D$5:$G$22,MATCH(C82,'Assumptions'!$A$5:$A$22,0),MATCH(D82,'Assumptions'!$D$4:$G$4,0))*1.25,1)),"")</x:f>
      </x:c>
      <x:c r="M82" s="15"/>
      <x:c r="N82" s="15"/>
      <x:c r="O82" s="15"/>
      <x:c r="P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23"/>
      <x:c r="K83" s="23" t="str">
        <x:f>IFERROR(MAX(0.5,ROUND(INDEX('Assumptions'!$D$5:$G$22,MATCH(C83,'Assumptions'!$A$5:$A$22,0),MATCH(D83,'Assumptions'!$D$4:$G$4,0))*0.75,1)),"")</x:f>
      </x:c>
      <x:c r="L83" s="23" t="str">
        <x:f>IFERROR(MAX(0.5,ROUND(INDEX('Assumptions'!$D$5:$G$22,MATCH(C83,'Assumptions'!$A$5:$A$22,0),MATCH(D83,'Assumptions'!$D$4:$G$4,0))*1.25,1)),"")</x:f>
      </x:c>
      <x:c r="M83" s="15"/>
      <x:c r="N83" s="15"/>
      <x:c r="O83" s="15"/>
      <x:c r="P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23"/>
      <x:c r="K84" s="23" t="str">
        <x:f>IFERROR(MAX(0.5,ROUND(INDEX('Assumptions'!$D$5:$G$22,MATCH(C84,'Assumptions'!$A$5:$A$22,0),MATCH(D84,'Assumptions'!$D$4:$G$4,0))*0.75,1)),"")</x:f>
      </x:c>
      <x:c r="L84" s="23" t="str">
        <x:f>IFERROR(MAX(0.5,ROUND(INDEX('Assumptions'!$D$5:$G$22,MATCH(C84,'Assumptions'!$A$5:$A$22,0),MATCH(D84,'Assumptions'!$D$4:$G$4,0))*1.25,1)),"")</x:f>
      </x:c>
      <x:c r="M84" s="15"/>
      <x:c r="N84" s="15"/>
      <x:c r="O84" s="15"/>
      <x:c r="P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23"/>
      <x:c r="K85" s="23" t="str">
        <x:f>IFERROR(MAX(0.5,ROUND(INDEX('Assumptions'!$D$5:$G$22,MATCH(C85,'Assumptions'!$A$5:$A$22,0),MATCH(D85,'Assumptions'!$D$4:$G$4,0))*0.75,1)),"")</x:f>
      </x:c>
      <x:c r="L85" s="23" t="str">
        <x:f>IFERROR(MAX(0.5,ROUND(INDEX('Assumptions'!$D$5:$G$22,MATCH(C85,'Assumptions'!$A$5:$A$22,0),MATCH(D85,'Assumptions'!$D$4:$G$4,0))*1.25,1)),"")</x:f>
      </x:c>
      <x:c r="M85" s="15"/>
      <x:c r="N85" s="15"/>
      <x:c r="O85" s="15"/>
      <x:c r="P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23"/>
      <x:c r="K86" s="23" t="str">
        <x:f>IFERROR(MAX(0.5,ROUND(INDEX('Assumptions'!$D$5:$G$22,MATCH(C86,'Assumptions'!$A$5:$A$22,0),MATCH(D86,'Assumptions'!$D$4:$G$4,0))*0.75,1)),"")</x:f>
      </x:c>
      <x:c r="L86" s="23" t="str">
        <x:f>IFERROR(MAX(0.5,ROUND(INDEX('Assumptions'!$D$5:$G$22,MATCH(C86,'Assumptions'!$A$5:$A$22,0),MATCH(D86,'Assumptions'!$D$4:$G$4,0))*1.25,1)),"")</x:f>
      </x:c>
      <x:c r="M86" s="15"/>
      <x:c r="N86" s="15"/>
      <x:c r="O86" s="15"/>
      <x:c r="P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23"/>
      <x:c r="K87" s="23" t="str">
        <x:f>IFERROR(MAX(0.5,ROUND(INDEX('Assumptions'!$D$5:$G$22,MATCH(C87,'Assumptions'!$A$5:$A$22,0),MATCH(D87,'Assumptions'!$D$4:$G$4,0))*0.75,1)),"")</x:f>
      </x:c>
      <x:c r="L87" s="23" t="str">
        <x:f>IFERROR(MAX(0.5,ROUND(INDEX('Assumptions'!$D$5:$G$22,MATCH(C87,'Assumptions'!$A$5:$A$22,0),MATCH(D87,'Assumptions'!$D$4:$G$4,0))*1.25,1)),"")</x:f>
      </x:c>
      <x:c r="M87" s="15"/>
      <x:c r="N87" s="15"/>
      <x:c r="O87" s="15"/>
      <x:c r="P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23"/>
      <x:c r="K88" s="23" t="str">
        <x:f>IFERROR(MAX(0.5,ROUND(INDEX('Assumptions'!$D$5:$G$22,MATCH(C88,'Assumptions'!$A$5:$A$22,0),MATCH(D88,'Assumptions'!$D$4:$G$4,0))*0.75,1)),"")</x:f>
      </x:c>
      <x:c r="L88" s="23" t="str">
        <x:f>IFERROR(MAX(0.5,ROUND(INDEX('Assumptions'!$D$5:$G$22,MATCH(C88,'Assumptions'!$A$5:$A$22,0),MATCH(D88,'Assumptions'!$D$4:$G$4,0))*1.25,1)),"")</x:f>
      </x:c>
      <x:c r="M88" s="15"/>
      <x:c r="N88" s="15"/>
      <x:c r="O88" s="15"/>
      <x:c r="P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23"/>
      <x:c r="K89" s="23" t="str">
        <x:f>IFERROR(MAX(0.5,ROUND(INDEX('Assumptions'!$D$5:$G$22,MATCH(C89,'Assumptions'!$A$5:$A$22,0),MATCH(D89,'Assumptions'!$D$4:$G$4,0))*0.75,1)),"")</x:f>
      </x:c>
      <x:c r="L89" s="23" t="str">
        <x:f>IFERROR(MAX(0.5,ROUND(INDEX('Assumptions'!$D$5:$G$22,MATCH(C89,'Assumptions'!$A$5:$A$22,0),MATCH(D89,'Assumptions'!$D$4:$G$4,0))*1.25,1)),"")</x:f>
      </x:c>
      <x:c r="M89" s="15"/>
      <x:c r="N89" s="15"/>
      <x:c r="O89" s="15"/>
      <x:c r="P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23"/>
      <x:c r="K90" s="23" t="str">
        <x:f>IFERROR(MAX(0.5,ROUND(INDEX('Assumptions'!$D$5:$G$22,MATCH(C90,'Assumptions'!$A$5:$A$22,0),MATCH(D90,'Assumptions'!$D$4:$G$4,0))*0.75,1)),"")</x:f>
      </x:c>
      <x:c r="L90" s="23" t="str">
        <x:f>IFERROR(MAX(0.5,ROUND(INDEX('Assumptions'!$D$5:$G$22,MATCH(C90,'Assumptions'!$A$5:$A$22,0),MATCH(D90,'Assumptions'!$D$4:$G$4,0))*1.25,1)),"")</x:f>
      </x:c>
      <x:c r="M90" s="15"/>
      <x:c r="N90" s="15"/>
      <x:c r="O90" s="15"/>
      <x:c r="P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23"/>
      <x:c r="K91" s="23" t="str">
        <x:f>IFERROR(MAX(0.5,ROUND(INDEX('Assumptions'!$D$5:$G$22,MATCH(C91,'Assumptions'!$A$5:$A$22,0),MATCH(D91,'Assumptions'!$D$4:$G$4,0))*0.75,1)),"")</x:f>
      </x:c>
      <x:c r="L91" s="23" t="str">
        <x:f>IFERROR(MAX(0.5,ROUND(INDEX('Assumptions'!$D$5:$G$22,MATCH(C91,'Assumptions'!$A$5:$A$22,0),MATCH(D91,'Assumptions'!$D$4:$G$4,0))*1.25,1)),"")</x:f>
      </x:c>
      <x:c r="M91" s="15"/>
      <x:c r="N91" s="15"/>
      <x:c r="O91" s="15"/>
      <x:c r="P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23"/>
      <x:c r="K92" s="23" t="str">
        <x:f>IFERROR(MAX(0.5,ROUND(INDEX('Assumptions'!$D$5:$G$22,MATCH(C92,'Assumptions'!$A$5:$A$22,0),MATCH(D92,'Assumptions'!$D$4:$G$4,0))*0.75,1)),"")</x:f>
      </x:c>
      <x:c r="L92" s="23" t="str">
        <x:f>IFERROR(MAX(0.5,ROUND(INDEX('Assumptions'!$D$5:$G$22,MATCH(C92,'Assumptions'!$A$5:$A$22,0),MATCH(D92,'Assumptions'!$D$4:$G$4,0))*1.25,1)),"")</x:f>
      </x:c>
      <x:c r="M92" s="15"/>
      <x:c r="N92" s="15"/>
      <x:c r="O92" s="15"/>
      <x:c r="P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23"/>
      <x:c r="K93" s="23" t="str">
        <x:f>IFERROR(MAX(0.5,ROUND(INDEX('Assumptions'!$D$5:$G$22,MATCH(C93,'Assumptions'!$A$5:$A$22,0),MATCH(D93,'Assumptions'!$D$4:$G$4,0))*0.75,1)),"")</x:f>
      </x:c>
      <x:c r="L93" s="23" t="str">
        <x:f>IFERROR(MAX(0.5,ROUND(INDEX('Assumptions'!$D$5:$G$22,MATCH(C93,'Assumptions'!$A$5:$A$22,0),MATCH(D93,'Assumptions'!$D$4:$G$4,0))*1.25,1)),"")</x:f>
      </x:c>
      <x:c r="M93" s="15"/>
      <x:c r="N93" s="15"/>
      <x:c r="O93" s="15"/>
      <x:c r="P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23"/>
      <x:c r="K94" s="23" t="str">
        <x:f>IFERROR(MAX(0.5,ROUND(INDEX('Assumptions'!$D$5:$G$22,MATCH(C94,'Assumptions'!$A$5:$A$22,0),MATCH(D94,'Assumptions'!$D$4:$G$4,0))*0.75,1)),"")</x:f>
      </x:c>
      <x:c r="L94" s="23" t="str">
        <x:f>IFERROR(MAX(0.5,ROUND(INDEX('Assumptions'!$D$5:$G$22,MATCH(C94,'Assumptions'!$A$5:$A$22,0),MATCH(D94,'Assumptions'!$D$4:$G$4,0))*1.25,1)),"")</x:f>
      </x:c>
      <x:c r="M94" s="15"/>
      <x:c r="N94" s="15"/>
      <x:c r="O94" s="15"/>
      <x:c r="P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23"/>
      <x:c r="K95" s="23" t="str">
        <x:f>IFERROR(MAX(0.5,ROUND(INDEX('Assumptions'!$D$5:$G$22,MATCH(C95,'Assumptions'!$A$5:$A$22,0),MATCH(D95,'Assumptions'!$D$4:$G$4,0))*0.75,1)),"")</x:f>
      </x:c>
      <x:c r="L95" s="23" t="str">
        <x:f>IFERROR(MAX(0.5,ROUND(INDEX('Assumptions'!$D$5:$G$22,MATCH(C95,'Assumptions'!$A$5:$A$22,0),MATCH(D95,'Assumptions'!$D$4:$G$4,0))*1.25,1)),"")</x:f>
      </x:c>
      <x:c r="M95" s="15"/>
      <x:c r="N95" s="15"/>
      <x:c r="O95" s="15"/>
      <x:c r="P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23"/>
      <x:c r="K96" s="23" t="str">
        <x:f>IFERROR(MAX(0.5,ROUND(INDEX('Assumptions'!$D$5:$G$22,MATCH(C96,'Assumptions'!$A$5:$A$22,0),MATCH(D96,'Assumptions'!$D$4:$G$4,0))*0.75,1)),"")</x:f>
      </x:c>
      <x:c r="L96" s="23" t="str">
        <x:f>IFERROR(MAX(0.5,ROUND(INDEX('Assumptions'!$D$5:$G$22,MATCH(C96,'Assumptions'!$A$5:$A$22,0),MATCH(D96,'Assumptions'!$D$4:$G$4,0))*1.25,1)),"")</x:f>
      </x:c>
      <x:c r="M96" s="15"/>
      <x:c r="N96" s="15"/>
      <x:c r="O96" s="15"/>
      <x:c r="P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23"/>
      <x:c r="K97" s="23" t="str">
        <x:f>IFERROR(MAX(0.5,ROUND(INDEX('Assumptions'!$D$5:$G$22,MATCH(C97,'Assumptions'!$A$5:$A$22,0),MATCH(D97,'Assumptions'!$D$4:$G$4,0))*0.75,1)),"")</x:f>
      </x:c>
      <x:c r="L97" s="23" t="str">
        <x:f>IFERROR(MAX(0.5,ROUND(INDEX('Assumptions'!$D$5:$G$22,MATCH(C97,'Assumptions'!$A$5:$A$22,0),MATCH(D97,'Assumptions'!$D$4:$G$4,0))*1.25,1)),"")</x:f>
      </x:c>
      <x:c r="M97" s="15"/>
      <x:c r="N97" s="15"/>
      <x:c r="O97" s="15"/>
      <x:c r="P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23"/>
      <x:c r="K98" s="23" t="str">
        <x:f>IFERROR(MAX(0.5,ROUND(INDEX('Assumptions'!$D$5:$G$22,MATCH(C98,'Assumptions'!$A$5:$A$22,0),MATCH(D98,'Assumptions'!$D$4:$G$4,0))*0.75,1)),"")</x:f>
      </x:c>
      <x:c r="L98" s="23" t="str">
        <x:f>IFERROR(MAX(0.5,ROUND(INDEX('Assumptions'!$D$5:$G$22,MATCH(C98,'Assumptions'!$A$5:$A$22,0),MATCH(D98,'Assumptions'!$D$4:$G$4,0))*1.25,1)),"")</x:f>
      </x:c>
      <x:c r="M98" s="15"/>
      <x:c r="N98" s="15"/>
      <x:c r="O98" s="15"/>
      <x:c r="P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23"/>
      <x:c r="K99" s="23" t="str">
        <x:f>IFERROR(MAX(0.5,ROUND(INDEX('Assumptions'!$D$5:$G$22,MATCH(C99,'Assumptions'!$A$5:$A$22,0),MATCH(D99,'Assumptions'!$D$4:$G$4,0))*0.75,1)),"")</x:f>
      </x:c>
      <x:c r="L99" s="23" t="str">
        <x:f>IFERROR(MAX(0.5,ROUND(INDEX('Assumptions'!$D$5:$G$22,MATCH(C99,'Assumptions'!$A$5:$A$22,0),MATCH(D99,'Assumptions'!$D$4:$G$4,0))*1.25,1)),"")</x:f>
      </x:c>
      <x:c r="M99" s="15"/>
      <x:c r="N99" s="15"/>
      <x:c r="O99" s="15"/>
      <x:c r="P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23"/>
      <x:c r="K100" s="23" t="str">
        <x:f>IFERROR(MAX(0.5,ROUND(INDEX('Assumptions'!$D$5:$G$22,MATCH(C100,'Assumptions'!$A$5:$A$22,0),MATCH(D100,'Assumptions'!$D$4:$G$4,0))*0.75,1)),"")</x:f>
      </x:c>
      <x:c r="L100" s="23" t="str">
        <x:f>IFERROR(MAX(0.5,ROUND(INDEX('Assumptions'!$D$5:$G$22,MATCH(C100,'Assumptions'!$A$5:$A$22,0),MATCH(D100,'Assumptions'!$D$4:$G$4,0))*1.25,1)),"")</x:f>
      </x:c>
      <x:c r="M100" s="15"/>
      <x:c r="N100" s="15"/>
      <x:c r="O100" s="15"/>
      <x:c r="P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23"/>
      <x:c r="K101" s="23" t="str">
        <x:f>IFERROR(MAX(0.5,ROUND(INDEX('Assumptions'!$D$5:$G$22,MATCH(C101,'Assumptions'!$A$5:$A$22,0),MATCH(D101,'Assumptions'!$D$4:$G$4,0))*0.75,1)),"")</x:f>
      </x:c>
      <x:c r="L101" s="23" t="str">
        <x:f>IFERROR(MAX(0.5,ROUND(INDEX('Assumptions'!$D$5:$G$22,MATCH(C101,'Assumptions'!$A$5:$A$22,0),MATCH(D101,'Assumptions'!$D$4:$G$4,0))*1.25,1)),"")</x:f>
      </x:c>
      <x:c r="M101" s="15"/>
      <x:c r="N101" s="15"/>
      <x:c r="O101" s="15"/>
      <x:c r="P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23"/>
      <x:c r="K102" s="23" t="str">
        <x:f>IFERROR(MAX(0.5,ROUND(INDEX('Assumptions'!$D$5:$G$22,MATCH(C102,'Assumptions'!$A$5:$A$22,0),MATCH(D102,'Assumptions'!$D$4:$G$4,0))*0.75,1)),"")</x:f>
      </x:c>
      <x:c r="L102" s="23" t="str">
        <x:f>IFERROR(MAX(0.5,ROUND(INDEX('Assumptions'!$D$5:$G$22,MATCH(C102,'Assumptions'!$A$5:$A$22,0),MATCH(D102,'Assumptions'!$D$4:$G$4,0))*1.25,1)),"")</x:f>
      </x:c>
      <x:c r="M102" s="15"/>
      <x:c r="N102" s="15"/>
      <x:c r="O102" s="15"/>
      <x:c r="P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23"/>
      <x:c r="K103" s="23" t="str">
        <x:f>IFERROR(MAX(0.5,ROUND(INDEX('Assumptions'!$D$5:$G$22,MATCH(C103,'Assumptions'!$A$5:$A$22,0),MATCH(D103,'Assumptions'!$D$4:$G$4,0))*0.75,1)),"")</x:f>
      </x:c>
      <x:c r="L103" s="23" t="str">
        <x:f>IFERROR(MAX(0.5,ROUND(INDEX('Assumptions'!$D$5:$G$22,MATCH(C103,'Assumptions'!$A$5:$A$22,0),MATCH(D103,'Assumptions'!$D$4:$G$4,0))*1.25,1)),"")</x:f>
      </x:c>
      <x:c r="M103" s="15"/>
      <x:c r="N103" s="15"/>
      <x:c r="O103" s="15"/>
      <x:c r="P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23"/>
      <x:c r="K104" s="23" t="str">
        <x:f>IFERROR(MAX(0.5,ROUND(INDEX('Assumptions'!$D$5:$G$22,MATCH(C104,'Assumptions'!$A$5:$A$22,0),MATCH(D104,'Assumptions'!$D$4:$G$4,0))*0.75,1)),"")</x:f>
      </x:c>
      <x:c r="L104" s="23" t="str">
        <x:f>IFERROR(MAX(0.5,ROUND(INDEX('Assumptions'!$D$5:$G$22,MATCH(C104,'Assumptions'!$A$5:$A$22,0),MATCH(D104,'Assumptions'!$D$4:$G$4,0))*1.25,1)),"")</x:f>
      </x:c>
      <x:c r="M104" s="15"/>
      <x:c r="N104" s="15"/>
      <x:c r="O104" s="15"/>
      <x:c r="P104" s="15"/>
    </x:row>
  </x:sheetData>
  <x:mergeCells>
    <x:mergeCell ref="A1:P1"/>
    <x:mergeCell ref="A2:P2"/>
  </x:mergeCells>
  <x:conditionalFormatting sqref="M5:M104">
    <x:cfRule type="containsText" dxfId="71" priority="1" operator="containsText" text="Complete"/>
    <x:cfRule type="containsText" dxfId="72" priority="2" operator="containsText" text="Blocked"/>
    <x:cfRule type="containsText" dxfId="73" priority="3" operator="containsText" text="At Risk"/>
    <x:cfRule type="containsText" dxfId="74" priority="4" operator="containsText" text="In Progress"/>
  </x:conditionalFormatting>
  <x:conditionalFormatting sqref="O5:O104">
    <x:cfRule type="containsText" dxfId="75" priority="5" operator="containsText" text="Green"/>
    <x:cfRule type="containsText" dxfId="76" priority="6" operator="containsText" text="Yellow"/>
    <x:cfRule type="containsText" dxfId="77" priority="7" operator="containsText" text="Red"/>
  </x:conditionalFormatting>
  <x:dataValidations count="6">
    <x:dataValidation type="list" sqref="C5:C104">
      <x:formula1>'Assumptions'!$A$5:$A$22</x:formula1>
    </x:dataValidation>
    <x:dataValidation type="list" sqref="D5:D104">
      <x:formula1>'Assumptions'!$E$27:$E$30</x:formula1>
    </x:dataValidation>
    <x:dataValidation type="list" sqref="E5:E104">
      <x:formula1>'Assumptions'!$O$27:$O$39</x:formula1>
    </x:dataValidation>
    <x:dataValidation type="list" sqref="F5:F104">
      <x:formula1>'Assumptions'!$Q$27:$Q$34</x:formula1>
    </x:dataValidation>
    <x:dataValidation type="list" sqref="M5:M104">
      <x:formula1>'Assumptions'!$U$27:$U$34</x:formula1>
    </x:dataValidation>
    <x:dataValidation type="list" sqref="O5:O104">
      <x:formula1>'Assumptions'!$S$27:$S$29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89c4f2d838421d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5" hidden="0" customWidth="1"/>
    <x:col min="3" max="3" width="24" hidden="0" customWidth="1"/>
    <x:col min="4" max="4" width="16" hidden="0" customWidth="1"/>
    <x:col min="5" max="5" width="18" hidden="0" customWidth="1"/>
    <x:col min="6" max="6" width="16" hidden="0" customWidth="1"/>
    <x:col min="7" max="7" width="20" hidden="0" customWidth="1"/>
    <x:col min="8" max="8" width="14" hidden="0" customWidth="1"/>
    <x:col min="9" max="9" width="10" hidden="0" customWidth="1"/>
    <x:col min="10" max="10" width="32" hidden="0" customWidth="1"/>
  </x:cols>
  <x:sheetData>
    <x:row r="1" ht="30" customHeight="1">
      <x:c r="A1" s="38" t="str">
        <x:v>NFRs</x:v>
      </x:c>
      <x:c r="B1" s="38" t="str">
        <x:v>NFRs</x:v>
      </x:c>
      <x:c r="C1" s="38" t="str">
        <x:v>NFRs</x:v>
      </x:c>
      <x:c r="D1" s="38" t="str">
        <x:v>NFRs</x:v>
      </x:c>
      <x:c r="E1" s="38" t="str">
        <x:v>NFRs</x:v>
      </x:c>
      <x:c r="F1" s="38" t="str">
        <x:v>NFRs</x:v>
      </x:c>
      <x:c r="G1" s="38" t="str">
        <x:v>NFRs</x:v>
      </x:c>
      <x:c r="H1" s="38" t="str">
        <x:v>NFRs</x:v>
      </x:c>
      <x:c r="I1" s="38" t="str">
        <x:v>NFRs</x:v>
      </x:c>
      <x:c r="J1" s="38" t="str">
        <x:v>NFRs</x:v>
      </x:c>
    </x:row>
    <x:row r="2" ht="34" customHeight="1">
      <x:c r="A2" s="39" t="str">
        <x:v>Track non-functional requirement asks, validation tasks, responsible party, status, and related tickets.</x:v>
      </x:c>
      <x:c r="B2" s="39" t="str">
        <x:v>Track non-functional requirement asks, validation tasks, responsible party, status, and related tickets.</x:v>
      </x:c>
      <x:c r="C2" s="39" t="str">
        <x:v>Track non-functional requirement asks, validation tasks, responsible party, status, and related tickets.</x:v>
      </x:c>
      <x:c r="D2" s="39" t="str">
        <x:v>Track non-functional requirement asks, validation tasks, responsible party, status, and related tickets.</x:v>
      </x:c>
      <x:c r="E2" s="39" t="str">
        <x:v>Track non-functional requirement asks, validation tasks, responsible party, status, and related tickets.</x:v>
      </x:c>
      <x:c r="F2" s="39" t="str">
        <x:v>Track non-functional requirement asks, validation tasks, responsible party, status, and related tickets.</x:v>
      </x:c>
      <x:c r="G2" s="39" t="str">
        <x:v>Track non-functional requirement asks, validation tasks, responsible party, status, and related tickets.</x:v>
      </x:c>
      <x:c r="H2" s="39" t="str">
        <x:v>Track non-functional requirement asks, validation tasks, responsible party, status, and related tickets.</x:v>
      </x:c>
      <x:c r="I2" s="39" t="str">
        <x:v>Track non-functional requirement asks, validation tasks, responsible party, status, and related tickets.</x:v>
      </x:c>
      <x:c r="J2" s="39" t="str">
        <x:v>Track non-functional requirement asks, validation tasks, responsible party, status, and related tickets.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</x:row>
    <x:row r="4" ht="34" customHeight="1">
      <x:c r="A4" s="44" t="str">
        <x:v>Ticket</x:v>
      </x:c>
      <x:c r="B4" s="44" t="str">
        <x:v>Description</x:v>
      </x:c>
      <x:c r="C4" s="44" t="str">
        <x:v>Responsible</x:v>
      </x:c>
      <x:c r="D4" s="44" t="str">
        <x:v>Environment</x:v>
      </x:c>
      <x:c r="E4" s="44" t="str">
        <x:v>NFR Area</x:v>
      </x:c>
      <x:c r="F4" s="44" t="str">
        <x:v>DEV Status</x:v>
      </x:c>
      <x:c r="G4" s="44" t="str">
        <x:v>Jira Story</x:v>
      </x:c>
      <x:c r="H4" s="44" t="str">
        <x:v>Sprint</x:v>
      </x:c>
      <x:c r="I4" s="44" t="str">
        <x:v>R/Y/G</x:v>
      </x:c>
      <x:c r="J4" s="44" t="str">
        <x:v>Notes</x:v>
      </x:c>
    </x:row>
    <x:row r="5">
      <x:c r="A5" s="15" t="str"/>
      <x:c r="B5" s="15" t="str">
        <x:v>NFR validation task - availability / resiliency</x:v>
      </x:c>
      <x:c r="C5" s="15" t="str">
        <x:v>Development</x:v>
      </x:c>
      <x:c r="D5" s="15" t="str">
        <x:v>Non-Prod</x:v>
      </x:c>
      <x:c r="E5" s="15" t="str">
        <x:v>Availability</x:v>
      </x:c>
      <x:c r="F5" s="15" t="str">
        <x:v>To do</x:v>
      </x:c>
      <x:c r="G5" s="15" t="str"/>
      <x:c r="H5" s="15" t="str"/>
      <x:c r="I5" s="15" t="str">
        <x:v>Yellow</x:v>
      </x:c>
      <x:c r="J5" s="15" t="str"/>
    </x:row>
    <x:row r="6">
      <x:c r="A6" s="15" t="str"/>
      <x:c r="B6" s="15" t="str">
        <x:v>NFR validation task - audit logging</x:v>
      </x:c>
      <x:c r="C6" s="15" t="str">
        <x:v>Development</x:v>
      </x:c>
      <x:c r="D6" s="15" t="str">
        <x:v>Non-Prod</x:v>
      </x:c>
      <x:c r="E6" s="15" t="str">
        <x:v>Auditability</x:v>
      </x:c>
      <x:c r="F6" s="15" t="str">
        <x:v>To do</x:v>
      </x:c>
      <x:c r="G6" s="15" t="str"/>
      <x:c r="H6" s="15" t="str"/>
      <x:c r="I6" s="15" t="str">
        <x:v>Yellow</x:v>
      </x:c>
      <x:c r="J6" s="15" t="str"/>
    </x:row>
    <x:row r="7">
      <x:c r="A7" s="15" t="str"/>
      <x:c r="B7" s="15" t="str">
        <x:v>NFR validation task - automated regression testing</x:v>
      </x:c>
      <x:c r="C7" s="15" t="str">
        <x:v>Development</x:v>
      </x:c>
      <x:c r="D7" s="15" t="str">
        <x:v>Non-Prod</x:v>
      </x:c>
      <x:c r="E7" s="15" t="str">
        <x:v>Testing</x:v>
      </x:c>
      <x:c r="F7" s="15" t="str">
        <x:v>To do</x:v>
      </x:c>
      <x:c r="G7" s="15" t="str"/>
      <x:c r="H7" s="15" t="str"/>
      <x:c r="I7" s="15" t="str">
        <x:v>Yellow</x:v>
      </x:c>
      <x:c r="J7" s="15" t="str"/>
    </x:row>
    <x:row r="8">
      <x:c r="A8" s="15" t="str"/>
      <x:c r="B8" s="15" t="str">
        <x:v>NFR validation task - timeout handling</x:v>
      </x:c>
      <x:c r="C8" s="15" t="str">
        <x:v>Development</x:v>
      </x:c>
      <x:c r="D8" s="15" t="str">
        <x:v>Non-Prod</x:v>
      </x:c>
      <x:c r="E8" s="15" t="str">
        <x:v>Availability</x:v>
      </x:c>
      <x:c r="F8" s="15" t="str">
        <x:v>To do</x:v>
      </x:c>
      <x:c r="G8" s="15" t="str"/>
      <x:c r="H8" s="15" t="str"/>
      <x:c r="I8" s="15" t="str">
        <x:v>Yellow</x:v>
      </x:c>
      <x:c r="J8" s="15" t="str"/>
    </x:row>
    <x:row r="9">
      <x:c r="A9" s="15" t="str"/>
      <x:c r="B9" s="15" t="str">
        <x:v>NFR validation task - avoid confidential data in logs</x:v>
      </x:c>
      <x:c r="C9" s="15" t="str">
        <x:v>Development</x:v>
      </x:c>
      <x:c r="D9" s="15" t="str">
        <x:v>Non-Prod</x:v>
      </x:c>
      <x:c r="E9" s="15" t="str">
        <x:v>Security</x:v>
      </x:c>
      <x:c r="F9" s="15" t="str">
        <x:v>To do</x:v>
      </x:c>
      <x:c r="G9" s="15" t="str"/>
      <x:c r="H9" s="15" t="str"/>
      <x:c r="I9" s="15" t="str">
        <x:v>Yellow</x:v>
      </x:c>
      <x:c r="J9" s="15" t="str"/>
    </x:row>
    <x:row r="10">
      <x:c r="A10" s="15" t="str"/>
      <x:c r="B10" s="15" t="str">
        <x:v>NFR validation task - tracking ID / correlation ID</x:v>
      </x:c>
      <x:c r="C10" s="15" t="str">
        <x:v>Development</x:v>
      </x:c>
      <x:c r="D10" s="15" t="str">
        <x:v>Non-Prod</x:v>
      </x:c>
      <x:c r="E10" s="15" t="str">
        <x:v>Auditability</x:v>
      </x:c>
      <x:c r="F10" s="15" t="str">
        <x:v>To do</x:v>
      </x:c>
      <x:c r="G10" s="15" t="str"/>
      <x:c r="H10" s="15" t="str"/>
      <x:c r="I10" s="15" t="str">
        <x:v>Yellow</x:v>
      </x:c>
      <x:c r="J10" s="15" t="str"/>
    </x:row>
    <x:row r="11">
      <x:c r="A11" s="15" t="str"/>
      <x:c r="B11" s="15" t="str">
        <x:v>NFR validation task - standard error handling</x:v>
      </x:c>
      <x:c r="C11" s="15" t="str">
        <x:v>Development</x:v>
      </x:c>
      <x:c r="D11" s="15" t="str">
        <x:v>Non-Prod</x:v>
      </x:c>
      <x:c r="E11" s="15" t="str">
        <x:v>Error Handling</x:v>
      </x:c>
      <x:c r="F11" s="15" t="str">
        <x:v>To do</x:v>
      </x:c>
      <x:c r="G11" s="15" t="str"/>
      <x:c r="H11" s="15" t="str"/>
      <x:c r="I11" s="15" t="str">
        <x:v>Yellow</x:v>
      </x:c>
      <x:c r="J11" s="15" t="str"/>
    </x:row>
    <x:row r="12">
      <x:c r="A12" s="15" t="str"/>
      <x:c r="B12" s="15" t="str">
        <x:v>NFR validation task - system error logging</x:v>
      </x:c>
      <x:c r="C12" s="15" t="str">
        <x:v>Development</x:v>
      </x:c>
      <x:c r="D12" s="15" t="str">
        <x:v>Non-Prod</x:v>
      </x:c>
      <x:c r="E12" s="15" t="str">
        <x:v>Error Handling</x:v>
      </x:c>
      <x:c r="F12" s="15" t="str">
        <x:v>To do</x:v>
      </x:c>
      <x:c r="G12" s="15" t="str"/>
      <x:c r="H12" s="15" t="str"/>
      <x:c r="I12" s="15" t="str">
        <x:v>Yellow</x:v>
      </x:c>
      <x:c r="J12" s="15" t="str"/>
    </x:row>
    <x:row r="13">
      <x:c r="A13" s="15" t="str"/>
      <x:c r="B13" s="15" t="str">
        <x:v>NFR validation task - retry logic</x:v>
      </x:c>
      <x:c r="C13" s="15" t="str">
        <x:v>Development</x:v>
      </x:c>
      <x:c r="D13" s="15" t="str">
        <x:v>Non-Prod</x:v>
      </x:c>
      <x:c r="E13" s="15" t="str">
        <x:v>Availability</x:v>
      </x:c>
      <x:c r="F13" s="15" t="str">
        <x:v>To do</x:v>
      </x:c>
      <x:c r="G13" s="15" t="str"/>
      <x:c r="H13" s="15" t="str"/>
      <x:c r="I13" s="15" t="str">
        <x:v>Yellow</x:v>
      </x:c>
      <x:c r="J13" s="15" t="str"/>
    </x:row>
    <x:row r="14">
      <x:c r="A14" s="15" t="str"/>
      <x:c r="B14" s="15" t="str">
        <x:v>NFR validation task - REST API call logging</x:v>
      </x:c>
      <x:c r="C14" s="15" t="str">
        <x:v>Development</x:v>
      </x:c>
      <x:c r="D14" s="15" t="str">
        <x:v>Non-Prod</x:v>
      </x:c>
      <x:c r="E14" s="15" t="str">
        <x:v>Auditability</x:v>
      </x:c>
      <x:c r="F14" s="15" t="str">
        <x:v>To do</x:v>
      </x:c>
      <x:c r="G14" s="15" t="str"/>
      <x:c r="H14" s="15" t="str"/>
      <x:c r="I14" s="15" t="str">
        <x:v>Yellow</x:v>
      </x:c>
      <x:c r="J14" s="15" t="str"/>
    </x:row>
    <x:row r="15">
      <x:c r="A15" s="15" t="str"/>
      <x:c r="B15" s="15" t="str">
        <x:v>NFR validation task - client UI errors logged</x:v>
      </x:c>
      <x:c r="C15" s="15" t="str">
        <x:v>Development</x:v>
      </x:c>
      <x:c r="D15" s="15" t="str">
        <x:v>Non-Prod</x:v>
      </x:c>
      <x:c r="E15" s="15" t="str">
        <x:v>Auditability</x:v>
      </x:c>
      <x:c r="F15" s="15" t="str">
        <x:v>To do</x:v>
      </x:c>
      <x:c r="G15" s="15" t="str"/>
      <x:c r="H15" s="15" t="str"/>
      <x:c r="I15" s="15" t="str">
        <x:v>Yellow</x:v>
      </x:c>
      <x:c r="J15" s="15" t="str"/>
    </x:row>
    <x:row r="16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</x:row>
  </x:sheetData>
  <x:mergeCells>
    <x:mergeCell ref="A1:J1"/>
    <x:mergeCell ref="A2:J2"/>
  </x:mergeCells>
  <x:conditionalFormatting sqref="F5:F104">
    <x:cfRule type="containsText" dxfId="78" priority="1" operator="containsText" text="Complete"/>
    <x:cfRule type="containsText" dxfId="79" priority="2" operator="containsText" text="Blocked"/>
    <x:cfRule type="containsText" dxfId="80" priority="3" operator="containsText" text="At Risk"/>
    <x:cfRule type="containsText" dxfId="81" priority="4" operator="containsText" text="In Progress"/>
  </x:conditionalFormatting>
  <x:conditionalFormatting sqref="I5:I104">
    <x:cfRule type="containsText" dxfId="82" priority="5" operator="containsText" text="Green"/>
    <x:cfRule type="containsText" dxfId="83" priority="6" operator="containsText" text="Yellow"/>
    <x:cfRule type="containsText" dxfId="84" priority="7" operator="containsText" text="Red"/>
  </x:conditionalFormatting>
  <x:dataValidations count="3">
    <x:dataValidation type="list" sqref="D5:D104">
      <x:formula1>'Assumptions'!$Q$27:$Q$34</x:formula1>
    </x:dataValidation>
    <x:dataValidation type="list" sqref="F5:F104">
      <x:formula1>'Assumptions'!$U$27:$U$34</x:formula1>
    </x:dataValidation>
    <x:dataValidation type="list" sqref="I5:I104">
      <x:formula1>'Assumptions'!$S$27:$S$29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980040fedd4293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14" hidden="0" customWidth="1"/>
    <x:col min="9" max="9" width="10" hidden="0" customWidth="1"/>
    <x:col min="10" max="10" width="34" hidden="0" customWidth="1"/>
  </x:cols>
  <x:sheetData>
    <x:row r="1" ht="30" customHeight="1">
      <x:c r="A1" s="38" t="str">
        <x:v>Dev Tasks</x:v>
      </x:c>
      <x:c r="B1" s="38" t="str">
        <x:v>Dev Tasks</x:v>
      </x:c>
      <x:c r="C1" s="38" t="str">
        <x:v>Dev Tasks</x:v>
      </x:c>
      <x:c r="D1" s="38" t="str">
        <x:v>Dev Tasks</x:v>
      </x:c>
      <x:c r="E1" s="38" t="str">
        <x:v>Dev Tasks</x:v>
      </x:c>
      <x:c r="F1" s="38" t="str">
        <x:v>Dev Tasks</x:v>
      </x:c>
      <x:c r="G1" s="38" t="str">
        <x:v>Dev Tasks</x:v>
      </x:c>
      <x:c r="H1" s="38" t="str">
        <x:v>Dev Tasks</x:v>
      </x:c>
      <x:c r="I1" s="38" t="str">
        <x:v>Dev Tasks</x:v>
      </x:c>
      <x:c r="J1" s="38" t="str">
        <x:v>Dev Tasks</x:v>
      </x:c>
    </x:row>
    <x:row r="2" ht="34" customHeight="1">
      <x:c r="A2" s="39" t="str">
        <x:v>Engineering task list for asks that do not need to live on the management summary.</x:v>
      </x:c>
      <x:c r="B2" s="39" t="str">
        <x:v>Engineering task list for asks that do not need to live on the management summary.</x:v>
      </x:c>
      <x:c r="C2" s="39" t="str">
        <x:v>Engineering task list for asks that do not need to live on the management summary.</x:v>
      </x:c>
      <x:c r="D2" s="39" t="str">
        <x:v>Engineering task list for asks that do not need to live on the management summary.</x:v>
      </x:c>
      <x:c r="E2" s="39" t="str">
        <x:v>Engineering task list for asks that do not need to live on the management summary.</x:v>
      </x:c>
      <x:c r="F2" s="39" t="str">
        <x:v>Engineering task list for asks that do not need to live on the management summary.</x:v>
      </x:c>
      <x:c r="G2" s="39" t="str">
        <x:v>Engineering task list for asks that do not need to live on the management summary.</x:v>
      </x:c>
      <x:c r="H2" s="39" t="str">
        <x:v>Engineering task list for asks that do not need to live on the management summary.</x:v>
      </x:c>
      <x:c r="I2" s="39" t="str">
        <x:v>Engineering task list for asks that do not need to live on the management summary.</x:v>
      </x:c>
      <x:c r="J2" s="39" t="str">
        <x:v>Engineering task list for asks that do not need to live on the management summary.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</x:row>
    <x:row r="4" ht="34" customHeight="1">
      <x:c r="A4" s="44" t="str">
        <x:v>Jira Ticket</x:v>
      </x:c>
      <x:c r="B4" s="44" t="str">
        <x:v>Description</x:v>
      </x:c>
      <x:c r="C4" s="44" t="str">
        <x:v>Type</x:v>
      </x:c>
      <x:c r="D4" s="44" t="str">
        <x:v>Area</x:v>
      </x:c>
      <x:c r="E4" s="44" t="str">
        <x:v>Environment</x:v>
      </x:c>
      <x:c r="F4" s="44" t="str">
        <x:v>Status</x:v>
      </x:c>
      <x:c r="G4" s="44" t="str">
        <x:v>Who</x:v>
      </x:c>
      <x:c r="H4" s="44" t="str">
        <x:v>Sprint</x:v>
      </x:c>
      <x:c r="I4" s="44" t="str">
        <x:v>R/Y/G</x:v>
      </x:c>
      <x:c r="J4" s="44" t="str">
        <x:v>Notes</x:v>
      </x:c>
    </x:row>
    <x:row r="5">
      <x:c r="A5" s="15" t="str"/>
      <x:c r="B5" s="15" t="str">
        <x:v>Request GitSAS entitlement used by development team</x:v>
      </x:c>
      <x:c r="C5" s="15" t="str">
        <x:v>Access</x:v>
      </x:c>
      <x:c r="D5" s="15" t="str">
        <x:v>Support</x:v>
      </x:c>
      <x:c r="E5" s="15" t="str">
        <x:v>Non-Prod</x:v>
      </x:c>
      <x:c r="F5" s="15" t="str">
        <x:v>Done</x:v>
      </x:c>
      <x:c r="G5" s="15" t="str">
        <x:v>Team</x:v>
      </x:c>
      <x:c r="H5" s="15" t="str"/>
      <x:c r="I5" s="15" t="str">
        <x:v>Green</x:v>
      </x:c>
      <x:c r="J5" s="15" t="str"/>
    </x:row>
    <x:row r="6">
      <x:c r="A6" s="15" t="str"/>
      <x:c r="B6" s="15" t="str">
        <x:v>Get database access group created for developers</x:v>
      </x:c>
      <x:c r="C6" s="15" t="str">
        <x:v>Access</x:v>
      </x:c>
      <x:c r="D6" s="15" t="str">
        <x:v>Database</x:v>
      </x:c>
      <x:c r="E6" s="15" t="str">
        <x:v>Non-Prod</x:v>
      </x:c>
      <x:c r="F6" s="15" t="str">
        <x:v>To do</x:v>
      </x:c>
      <x:c r="G6" s="15" t="str">
        <x:v>Team</x:v>
      </x:c>
      <x:c r="H6" s="15" t="str"/>
      <x:c r="I6" s="15" t="str">
        <x:v>Yellow</x:v>
      </x:c>
      <x:c r="J6" s="15" t="str"/>
    </x:row>
    <x:row r="7">
      <x:c r="A7" s="15" t="str"/>
      <x:c r="B7" s="15" t="str">
        <x:v>Get QA account created for devs</x:v>
      </x:c>
      <x:c r="C7" s="15" t="str">
        <x:v>Access</x:v>
      </x:c>
      <x:c r="D7" s="15" t="str">
        <x:v>Support</x:v>
      </x:c>
      <x:c r="E7" s="15" t="str">
        <x:v>QA</x:v>
      </x:c>
      <x:c r="F7" s="15" t="str">
        <x:v>To do</x:v>
      </x:c>
      <x:c r="G7" s="15" t="str">
        <x:v>Team</x:v>
      </x:c>
      <x:c r="H7" s="15" t="str"/>
      <x:c r="I7" s="15" t="str">
        <x:v>Yellow</x:v>
      </x:c>
      <x:c r="J7" s="15" t="str"/>
    </x:row>
    <x:row r="8">
      <x:c r="A8" s="15" t="str"/>
      <x:c r="B8" s="15" t="str">
        <x:v>Create and document solution design</x:v>
      </x:c>
      <x:c r="C8" s="15" t="str">
        <x:v>Design</x:v>
      </x:c>
      <x:c r="D8" s="15" t="str">
        <x:v>Support</x:v>
      </x:c>
      <x:c r="E8" s="15" t="str">
        <x:v>Non-Prod</x:v>
      </x:c>
      <x:c r="F8" s="15" t="str">
        <x:v>To do</x:v>
      </x:c>
      <x:c r="G8" s="15" t="str">
        <x:v>Team</x:v>
      </x:c>
      <x:c r="H8" s="15" t="str"/>
      <x:c r="I8" s="15" t="str">
        <x:v>Yellow</x:v>
      </x:c>
      <x:c r="J8" s="15" t="str"/>
    </x:row>
    <x:row r="9">
      <x:c r="A9" s="15" t="str"/>
      <x:c r="B9" s="15" t="str">
        <x:v>Review design and get SME signoff</x:v>
      </x:c>
      <x:c r="C9" s="15" t="str">
        <x:v>Design</x:v>
      </x:c>
      <x:c r="D9" s="15" t="str">
        <x:v>Support</x:v>
      </x:c>
      <x:c r="E9" s="15" t="str">
        <x:v>Non-Prod</x:v>
      </x:c>
      <x:c r="F9" s="15" t="str">
        <x:v>To do</x:v>
      </x:c>
      <x:c r="G9" s="15" t="str">
        <x:v>Team</x:v>
      </x:c>
      <x:c r="H9" s="15" t="str"/>
      <x:c r="I9" s="15" t="str">
        <x:v>Yellow</x:v>
      </x:c>
      <x:c r="J9" s="15" t="str"/>
    </x:row>
    <x:row r="10">
      <x:c r="A10" s="15" t="str"/>
      <x:c r="B10" s="15" t="str">
        <x:v>Create development stories</x:v>
      </x:c>
      <x:c r="C10" s="15" t="str">
        <x:v>Planning</x:v>
      </x:c>
      <x:c r="D10" s="15" t="str">
        <x:v>Support</x:v>
      </x:c>
      <x:c r="E10" s="15" t="str">
        <x:v>Non-Prod</x:v>
      </x:c>
      <x:c r="F10" s="15" t="str">
        <x:v>To do</x:v>
      </x:c>
      <x:c r="G10" s="15" t="str">
        <x:v>Team</x:v>
      </x:c>
      <x:c r="H10" s="15" t="str"/>
      <x:c r="I10" s="15" t="str">
        <x:v>Yellow</x:v>
      </x:c>
      <x:c r="J10" s="15" t="str"/>
    </x:row>
    <x:row r="11">
      <x:c r="A11" s="15" t="str"/>
      <x:c r="B11" s="15" t="str">
        <x:v>Complete NFR tickets based on approved design</x:v>
      </x:c>
      <x:c r="C11" s="15" t="str">
        <x:v>NFR</x:v>
      </x:c>
      <x:c r="D11" s="15" t="str">
        <x:v>Support</x:v>
      </x:c>
      <x:c r="E11" s="15" t="str">
        <x:v>Non-Prod</x:v>
      </x:c>
      <x:c r="F11" s="15" t="str">
        <x:v>To do</x:v>
      </x:c>
      <x:c r="G11" s="15" t="str">
        <x:v>Team</x:v>
      </x:c>
      <x:c r="H11" s="15" t="str"/>
      <x:c r="I11" s="15" t="str">
        <x:v>Yellow</x:v>
      </x:c>
      <x:c r="J11" s="15" t="str"/>
    </x:row>
    <x:row r="12">
      <x:c r="A12" s="15" t="str"/>
      <x:c r="B12" s="15" t="str">
        <x:v>Include enterprise branding updates for UI</x:v>
      </x:c>
      <x:c r="C12" s="15" t="str">
        <x:v>UI</x:v>
      </x:c>
      <x:c r="D12" s="15" t="str">
        <x:v>Support</x:v>
      </x:c>
      <x:c r="E12" s="15" t="str">
        <x:v>Non-Prod</x:v>
      </x:c>
      <x:c r="F12" s="15" t="str">
        <x:v>To do</x:v>
      </x:c>
      <x:c r="G12" s="15" t="str">
        <x:v>Team</x:v>
      </x:c>
      <x:c r="H12" s="15" t="str"/>
      <x:c r="I12" s="15" t="str">
        <x:v>Yellow</x:v>
      </x:c>
      <x:c r="J12" s="15" t="str"/>
    </x:row>
    <x:row r="13">
      <x:c r="A13" s="15" t="str"/>
      <x:c r="B13" s="15" t="str">
        <x:v>Create Jira board or spike if needed</x:v>
      </x:c>
      <x:c r="C13" s="15" t="str">
        <x:v>Planning</x:v>
      </x:c>
      <x:c r="D13" s="15" t="str">
        <x:v>Support</x:v>
      </x:c>
      <x:c r="E13" s="15" t="str">
        <x:v>Non-Prod</x:v>
      </x:c>
      <x:c r="F13" s="15" t="str">
        <x:v>To do</x:v>
      </x:c>
      <x:c r="G13" s="15" t="str">
        <x:v>Team</x:v>
      </x:c>
      <x:c r="H13" s="15" t="str"/>
      <x:c r="I13" s="15" t="str">
        <x:v>Yellow</x:v>
      </x:c>
      <x:c r="J13" s="15" t="str"/>
    </x:row>
    <x:row r="14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</x:row>
  </x:sheetData>
  <x:mergeCells>
    <x:mergeCell ref="A1:J1"/>
    <x:mergeCell ref="A2:J2"/>
  </x:mergeCells>
  <x:conditionalFormatting sqref="F5:F104">
    <x:cfRule type="containsText" dxfId="85" priority="1" operator="containsText" text="Complete"/>
    <x:cfRule type="containsText" dxfId="86" priority="2" operator="containsText" text="Blocked"/>
    <x:cfRule type="containsText" dxfId="87" priority="3" operator="containsText" text="At Risk"/>
    <x:cfRule type="containsText" dxfId="88" priority="4" operator="containsText" text="In Progress"/>
  </x:conditionalFormatting>
  <x:conditionalFormatting sqref="I5:I104">
    <x:cfRule type="containsText" dxfId="89" priority="5" operator="containsText" text="Green"/>
    <x:cfRule type="containsText" dxfId="90" priority="6" operator="containsText" text="Yellow"/>
    <x:cfRule type="containsText" dxfId="91" priority="7" operator="containsText" text="Red"/>
  </x:conditionalFormatting>
  <x:dataValidations count="4">
    <x:dataValidation type="list" sqref="D5:D104">
      <x:formula1>'Assumptions'!$O$27:$O$39</x:formula1>
    </x:dataValidation>
    <x:dataValidation type="list" sqref="E5:E104">
      <x:formula1>'Assumptions'!$Q$27:$Q$34</x:formula1>
    </x:dataValidation>
    <x:dataValidation type="list" sqref="F5:F104">
      <x:formula1>'Assumptions'!$U$27:$U$34</x:formula1>
    </x:dataValidation>
    <x:dataValidation type="list" sqref="I5:I104">
      <x:formula1>'Assumptions'!$S$27:$S$29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c680f4daad4323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4" hidden="0" customWidth="1"/>
    <x:col min="5" max="5" width="34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24" hidden="0" customWidth="1"/>
    <x:col min="11" max="11" width="28" hidden="0" customWidth="1"/>
    <x:col min="12" max="12" width="30" hidden="0" customWidth="1"/>
    <x:col min="13" max="13" width="16" hidden="0" customWidth="1"/>
    <x:col min="14" max="14" width="28" hidden="0" customWidth="1"/>
  </x:cols>
  <x:sheetData>
    <x:row r="1" ht="30" customHeight="1">
      <x:c r="A1" s="38" t="str">
        <x:v>Team Members and Access</x:v>
      </x:c>
      <x:c r="B1" s="38" t="str">
        <x:v>Team Members and Access</x:v>
      </x:c>
      <x:c r="C1" s="38" t="str">
        <x:v>Team Members and Access</x:v>
      </x:c>
      <x:c r="D1" s="38" t="str">
        <x:v>Team Members and Access</x:v>
      </x:c>
      <x:c r="E1" s="38" t="str">
        <x:v>Team Members and Access</x:v>
      </x:c>
      <x:c r="F1" s="38" t="str">
        <x:v>Team Members and Access</x:v>
      </x:c>
      <x:c r="G1" s="38" t="str">
        <x:v>Team Members and Access</x:v>
      </x:c>
      <x:c r="H1" s="38" t="str">
        <x:v>Team Members and Access</x:v>
      </x:c>
      <x:c r="I1" s="38" t="str">
        <x:v>Team Members and Access</x:v>
      </x:c>
      <x:c r="J1" s="38" t="str">
        <x:v>Team Members and Access</x:v>
      </x:c>
      <x:c r="K1" s="38" t="str">
        <x:v>Team Members and Access</x:v>
      </x:c>
      <x:c r="L1" s="38" t="str">
        <x:v>Team Members and Access</x:v>
      </x:c>
      <x:c r="M1" s="38" t="str">
        <x:v>Team Members and Access</x:v>
      </x:c>
      <x:c r="N1" s="38" t="str">
        <x:v>Team Members and Access</x:v>
      </x:c>
    </x:row>
    <x:row r="2" ht="34" customHeight="1">
      <x:c r="A2" s="39" t="str">
        <x:v>Track people, roles, environment accounts, repo access, GitSAS, DB groups, and missing access.</x:v>
      </x:c>
      <x:c r="B2" s="39" t="str">
        <x:v>Track people, roles, environment accounts, repo access, GitSAS, DB groups, and missing access.</x:v>
      </x:c>
      <x:c r="C2" s="39" t="str">
        <x:v>Track people, roles, environment accounts, repo access, GitSAS, DB groups, and missing access.</x:v>
      </x:c>
      <x:c r="D2" s="39" t="str">
        <x:v>Track people, roles, environment accounts, repo access, GitSAS, DB groups, and missing access.</x:v>
      </x:c>
      <x:c r="E2" s="39" t="str">
        <x:v>Track people, roles, environment accounts, repo access, GitSAS, DB groups, and missing access.</x:v>
      </x:c>
      <x:c r="F2" s="39" t="str">
        <x:v>Track people, roles, environment accounts, repo access, GitSAS, DB groups, and missing access.</x:v>
      </x:c>
      <x:c r="G2" s="39" t="str">
        <x:v>Track people, roles, environment accounts, repo access, GitSAS, DB groups, and missing access.</x:v>
      </x:c>
      <x:c r="H2" s="39" t="str">
        <x:v>Track people, roles, environment accounts, repo access, GitSAS, DB groups, and missing access.</x:v>
      </x:c>
      <x:c r="I2" s="39" t="str">
        <x:v>Track people, roles, environment accounts, repo access, GitSAS, DB groups, and missing access.</x:v>
      </x:c>
      <x:c r="J2" s="39" t="str">
        <x:v>Track people, roles, environment accounts, repo access, GitSAS, DB groups, and missing access.</x:v>
      </x:c>
      <x:c r="K2" s="39" t="str">
        <x:v>Track people, roles, environment accounts, repo access, GitSAS, DB groups, and missing access.</x:v>
      </x:c>
      <x:c r="L2" s="39" t="str">
        <x:v>Track people, roles, environment accounts, repo access, GitSAS, DB groups, and missing access.</x:v>
      </x:c>
      <x:c r="M2" s="39" t="str">
        <x:v>Track people, roles, environment accounts, repo access, GitSAS, DB groups, and missing access.</x:v>
      </x:c>
      <x:c r="N2" s="39" t="str">
        <x:v>Track people, roles, environment accounts, repo access, GitSAS, DB groups, and missing access.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 ht="34" customHeight="1">
      <x:c r="A4" s="44" t="str">
        <x:v>Team</x:v>
      </x:c>
      <x:c r="B4" s="44" t="str">
        <x:v>Who</x:v>
      </x:c>
      <x:c r="C4" s="44" t="str">
        <x:v>Role</x:v>
      </x:c>
      <x:c r="D4" s="44" t="str">
        <x:v>Notes</x:v>
      </x:c>
      <x:c r="E4" s="44" t="str">
        <x:v>Email</x:v>
      </x:c>
      <x:c r="F4" s="44" t="str">
        <x:v>AD-ENT</x:v>
      </x:c>
      <x:c r="G4" s="44" t="str">
        <x:v>QA-ENT</x:v>
      </x:c>
      <x:c r="H4" s="44" t="str">
        <x:v>Priv QA-ENT</x:v>
      </x:c>
      <x:c r="I4" s="44" t="str">
        <x:v>DOE Role</x:v>
      </x:c>
      <x:c r="J4" s="44" t="str">
        <x:v>GitHub Access</x:v>
      </x:c>
      <x:c r="K4" s="44" t="str">
        <x:v>GitSAS Access</x:v>
      </x:c>
      <x:c r="L4" s="44" t="str">
        <x:v>QA-ENT DB Access Group</x:v>
      </x:c>
      <x:c r="M4" s="44" t="str">
        <x:v>Access Status</x:v>
      </x:c>
      <x:c r="N4" s="44" t="str">
        <x:v>Follow-up</x:v>
      </x:c>
    </x:row>
    <x:row r="5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  <x:c r="I5" s="15" t="str"/>
      <x:c r="J5" s="15" t="str"/>
      <x:c r="K5" s="15" t="str"/>
      <x:c r="L5" s="15" t="str"/>
      <x:c r="M5" s="15" t="str"/>
      <x:c r="N5" s="15" t="str"/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  <x:c r="L6" s="15" t="str"/>
      <x:c r="M6" s="15" t="str"/>
      <x:c r="N6" s="15" t="str"/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  <x:c r="K7" s="15" t="str"/>
      <x:c r="L7" s="15" t="str"/>
      <x:c r="M7" s="15" t="str"/>
      <x:c r="N7" s="15" t="str"/>
    </x:row>
    <x:row r="8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  <x:c r="I8" s="15" t="str"/>
      <x:c r="J8" s="15" t="str"/>
      <x:c r="K8" s="15" t="str"/>
      <x:c r="L8" s="15" t="str"/>
      <x:c r="M8" s="15" t="str"/>
      <x:c r="N8" s="15" t="str"/>
    </x:row>
    <x:row r="9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  <x:c r="I9" s="15" t="str"/>
      <x:c r="J9" s="15" t="str"/>
      <x:c r="K9" s="15" t="str"/>
      <x:c r="L9" s="15" t="str"/>
      <x:c r="M9" s="15" t="str"/>
      <x:c r="N9" s="15" t="str"/>
    </x:row>
    <x:row r="10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  <x:c r="M10" s="15" t="str"/>
      <x:c r="N10" s="15" t="str"/>
    </x:row>
    <x:row r="1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  <x:c r="M11" s="15" t="str"/>
      <x:c r="N11" s="15" t="str"/>
    </x:row>
    <x:row r="12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  <x:c r="M12" s="15" t="str"/>
      <x:c r="N12" s="15" t="str"/>
    </x:row>
    <x:row r="13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  <x:c r="M13" s="15" t="str"/>
      <x:c r="N13" s="15" t="str"/>
    </x:row>
    <x:row r="14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</x:row>
    <x:row r="15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  <x:c r="M15" s="15" t="str"/>
      <x:c r="N15" s="15" t="str"/>
    </x:row>
    <x:row r="16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  <x:c r="L16" s="15" t="str"/>
      <x:c r="M16" s="15" t="str"/>
      <x:c r="N16" s="15" t="str"/>
    </x:row>
    <x:row r="17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</x:row>
    <x:row r="18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  <x:c r="L18" s="15" t="str"/>
      <x:c r="M18" s="15" t="str"/>
      <x:c r="N18" s="15" t="str"/>
    </x:row>
    <x:row r="19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  <x:c r="M19" s="15" t="str"/>
      <x:c r="N19" s="15" t="str"/>
    </x:row>
    <x:row r="20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  <x:c r="L20" s="15" t="str"/>
      <x:c r="M20" s="15" t="str"/>
      <x:c r="N20" s="15" t="str"/>
    </x:row>
    <x:row r="2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  <x:c r="L21" s="15" t="str"/>
      <x:c r="M21" s="15" t="str"/>
      <x:c r="N21" s="15" t="str"/>
    </x:row>
    <x:row r="22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  <x:c r="L22" s="15" t="str"/>
      <x:c r="M22" s="15" t="str"/>
      <x:c r="N22" s="15" t="str"/>
    </x:row>
    <x:row r="23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  <x:c r="M23" s="15" t="str"/>
      <x:c r="N23" s="15" t="str"/>
    </x:row>
    <x:row r="24">
      <x:c r="A24" s="15" t="str"/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  <x:c r="L24" s="15" t="str"/>
      <x:c r="M24" s="15" t="str"/>
      <x:c r="N24" s="15" t="str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</x:row>
  </x:sheetData>
  <x:mergeCells>
    <x:mergeCell ref="A1:N1"/>
    <x:mergeCell ref="A2:N2"/>
  </x:mergeCells>
  <x:conditionalFormatting sqref="M5:M54">
    <x:cfRule type="containsText" dxfId="92" priority="1" operator="containsText" text="Need"/>
    <x:cfRule type="containsText" dxfId="93" priority="2" operator="containsText" text="Granted"/>
  </x:conditionalFormatting>
  <x:dataValidations count="1">
    <x:dataValidation type="list" sqref="M5:M54">
      <x:formula1>"Granted,Need,Requested,Blocked,Not granted,Not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00c93f1ea847e3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34" hidden="0" customWidth="1"/>
    <x:col min="4" max="4" width="14" hidden="0" customWidth="1"/>
    <x:col min="5" max="5" width="10" hidden="0" customWidth="1"/>
    <x:col min="6" max="6" width="24" hidden="0" customWidth="1"/>
    <x:col min="7" max="7" width="16" hidden="0" customWidth="1"/>
    <x:col min="8" max="8" width="30" hidden="0" customWidth="1"/>
    <x:col min="9" max="9" width="18" hidden="0" customWidth="1"/>
    <x:col min="10" max="10" width="20" hidden="0" customWidth="1"/>
  </x:cols>
  <x:sheetData>
    <x:row r="1" ht="30" customHeight="1">
      <x:c r="A1" s="38" t="str">
        <x:v>Heritage</x:v>
      </x:c>
      <x:c r="B1" s="38" t="str">
        <x:v>Heritage</x:v>
      </x:c>
      <x:c r="C1" s="38" t="str">
        <x:v>Heritage</x:v>
      </x:c>
      <x:c r="D1" s="38" t="str">
        <x:v>Heritage</x:v>
      </x:c>
      <x:c r="E1" s="38" t="str">
        <x:v>Heritage</x:v>
      </x:c>
      <x:c r="F1" s="38" t="str">
        <x:v>Heritage</x:v>
      </x:c>
      <x:c r="G1" s="38" t="str">
        <x:v>Heritage</x:v>
      </x:c>
      <x:c r="H1" s="38" t="str">
        <x:v>Heritage</x:v>
      </x:c>
      <x:c r="I1" s="38" t="str">
        <x:v>Heritage</x:v>
      </x:c>
      <x:c r="J1" s="38" t="str">
        <x:v>Heritage</x:v>
      </x:c>
    </x:row>
    <x:row r="2" ht="34" customHeight="1">
      <x:c r="A2" s="39" t="str">
        <x:v>Track legacy servers/components that may affect modernization, migration, decommissioning, or support.</x:v>
      </x:c>
      <x:c r="B2" s="39" t="str">
        <x:v>Track legacy servers/components that may affect modernization, migration, decommissioning, or support.</x:v>
      </x:c>
      <x:c r="C2" s="39" t="str">
        <x:v>Track legacy servers/components that may affect modernization, migration, decommissioning, or support.</x:v>
      </x:c>
      <x:c r="D2" s="39" t="str">
        <x:v>Track legacy servers/components that may affect modernization, migration, decommissioning, or support.</x:v>
      </x:c>
      <x:c r="E2" s="39" t="str">
        <x:v>Track legacy servers/components that may affect modernization, migration, decommissioning, or support.</x:v>
      </x:c>
      <x:c r="F2" s="39" t="str">
        <x:v>Track legacy servers/components that may affect modernization, migration, decommissioning, or support.</x:v>
      </x:c>
      <x:c r="G2" s="39" t="str">
        <x:v>Track legacy servers/components that may affect modernization, migration, decommissioning, or support.</x:v>
      </x:c>
      <x:c r="H2" s="39" t="str">
        <x:v>Track legacy servers/components that may affect modernization, migration, decommissioning, or support.</x:v>
      </x:c>
      <x:c r="I2" s="39" t="str">
        <x:v>Track legacy servers/components that may affect modernization, migration, decommissioning, or support.</x:v>
      </x:c>
      <x:c r="J2" s="39" t="str">
        <x:v>Track legacy servers/components that may affect modernization, migration, decommissioning, or support.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</x:row>
    <x:row r="4" ht="34" customHeight="1">
      <x:c r="A4" s="44" t="str">
        <x:v>Server Name</x:v>
      </x:c>
      <x:c r="B4" s="44" t="str">
        <x:v>Server Role</x:v>
      </x:c>
      <x:c r="C4" s="44" t="str">
        <x:v>Description</x:v>
      </x:c>
      <x:c r="D4" s="44" t="str">
        <x:v>Support</x:v>
      </x:c>
      <x:c r="E4" s="44" t="str">
        <x:v>OS</x:v>
      </x:c>
      <x:c r="F4" s="44" t="str">
        <x:v>Notes</x:v>
      </x:c>
      <x:c r="G4" s="44" t="str">
        <x:v>Environment</x:v>
      </x:c>
      <x:c r="H4" s="44" t="str">
        <x:v>Modernization Impact</x:v>
      </x:c>
      <x:c r="I4" s="44" t="str">
        <x:v>Retirement Candidate?</x:v>
      </x:c>
      <x:c r="J4" s="44" t="str">
        <x:v>Owner</x:v>
      </x:c>
    </x:row>
    <x:row r="5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  <x:c r="I5" s="15" t="str"/>
      <x:c r="J5" s="15" t="str"/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</x:row>
    <x:row r="8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  <x:c r="I8" s="15" t="str"/>
      <x:c r="J8" s="15" t="str"/>
    </x:row>
    <x:row r="9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  <x:c r="I9" s="15" t="str"/>
      <x:c r="J9" s="15" t="str"/>
    </x:row>
    <x:row r="10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</x:row>
    <x:row r="1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</x:row>
    <x:row r="12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</x:row>
    <x:row r="13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</x:row>
    <x:row r="14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</x:row>
    <x:row r="15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</x:row>
    <x:row r="16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</x:row>
    <x:row r="17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</x:row>
    <x:row r="18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</x:row>
    <x:row r="19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</x:row>
    <x:row r="20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</x:row>
    <x:row r="2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</x:row>
    <x:row r="22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</x:row>
    <x:row r="23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</x:row>
    <x:row r="24">
      <x:c r="A24" s="15" t="str"/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</x:row>
    <x:row r="25">
      <x:c r="A25" s="15" t="str"/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</x:row>
    <x:row r="26">
      <x:c r="A26" s="15" t="str"/>
      <x:c r="B26" s="15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</x:row>
    <x:row r="27">
      <x:c r="A27" s="15" t="str"/>
      <x:c r="B27" s="15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15" t="str"/>
    </x:row>
    <x:row r="28">
      <x:c r="A28" s="15" t="str"/>
      <x:c r="B28" s="15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15" t="str"/>
    </x:row>
    <x:row r="29">
      <x:c r="A29" s="15" t="str"/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15" t="str"/>
    </x:row>
    <x:row r="30">
      <x:c r="A30" s="15" t="str"/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15" t="str"/>
    </x:row>
    <x:row r="31">
      <x:c r="A31" s="15" t="str"/>
      <x:c r="B31" s="15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15" t="str"/>
    </x:row>
    <x:row r="32">
      <x:c r="A32" s="15" t="str"/>
      <x:c r="B32" s="15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15" t="str"/>
    </x:row>
    <x:row r="33">
      <x:c r="A33" s="15" t="str"/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</x:row>
    <x:row r="34">
      <x:c r="A34" s="15" t="str"/>
      <x:c r="B34" s="15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15" t="str"/>
    </x:row>
    <x:row r="35">
      <x:c r="A35" s="15" t="str"/>
      <x:c r="B35" s="15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15" t="str"/>
    </x:row>
    <x:row r="36">
      <x:c r="A36" s="15" t="str"/>
      <x:c r="B36" s="15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15" t="str"/>
    </x:row>
    <x:row r="37">
      <x:c r="A37" s="15" t="str"/>
      <x:c r="B37" s="15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15" t="str"/>
    </x:row>
    <x:row r="38">
      <x:c r="A38" s="15" t="str"/>
      <x:c r="B38" s="15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15" t="str"/>
    </x:row>
    <x:row r="39">
      <x:c r="A39" s="15" t="str"/>
      <x:c r="B39" s="15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15" t="str"/>
    </x:row>
    <x:row r="40">
      <x:c r="A40" s="15" t="str"/>
      <x:c r="B40" s="15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15" t="str"/>
    </x:row>
    <x:row r="41">
      <x:c r="A41" s="15" t="str"/>
      <x:c r="B41" s="15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15" t="str"/>
    </x:row>
    <x:row r="42">
      <x:c r="A42" s="15" t="str"/>
      <x:c r="B42" s="15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15" t="str"/>
    </x:row>
    <x:row r="43">
      <x:c r="A43" s="15" t="str"/>
      <x:c r="B43" s="15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15" t="str"/>
    </x:row>
    <x:row r="44">
      <x:c r="A44" s="15" t="str"/>
      <x:c r="B44" s="15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15" t="str"/>
    </x:row>
    <x:row r="45">
      <x:c r="A45" s="15" t="str"/>
      <x:c r="B45" s="15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15" t="str"/>
    </x:row>
    <x:row r="46">
      <x:c r="A46" s="15" t="str"/>
      <x:c r="B46" s="15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15" t="str"/>
    </x:row>
    <x:row r="47">
      <x:c r="A47" s="15" t="str"/>
      <x:c r="B47" s="15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15" t="str"/>
    </x:row>
    <x:row r="48">
      <x:c r="A48" s="15" t="str"/>
      <x:c r="B48" s="15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15" t="str"/>
    </x:row>
    <x:row r="49">
      <x:c r="A49" s="15" t="str"/>
      <x:c r="B49" s="15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15" t="str"/>
    </x:row>
    <x:row r="50">
      <x:c r="A50" s="15" t="str"/>
      <x:c r="B50" s="15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15" t="str"/>
    </x:row>
    <x:row r="51">
      <x:c r="A51" s="15" t="str"/>
      <x:c r="B51" s="15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15" t="str"/>
    </x:row>
    <x:row r="52">
      <x:c r="A52" s="15" t="str"/>
      <x:c r="B52" s="15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15" t="str"/>
    </x:row>
    <x:row r="53">
      <x:c r="A53" s="15" t="str"/>
      <x:c r="B53" s="15" t="str"/>
      <x:c r="C53" s="15" t="str"/>
      <x:c r="D53" s="15" t="str"/>
      <x:c r="E53" s="15" t="str"/>
      <x:c r="F53" s="15" t="str"/>
      <x:c r="G53" s="15" t="str"/>
      <x:c r="H53" s="15" t="str"/>
      <x:c r="I53" s="15" t="str"/>
      <x:c r="J53" s="15" t="str"/>
    </x:row>
    <x:row r="54">
      <x:c r="A54" s="15" t="str"/>
      <x:c r="B54" s="15" t="str"/>
      <x:c r="C54" s="15" t="str"/>
      <x:c r="D54" s="15" t="str"/>
      <x:c r="E54" s="15" t="str"/>
      <x:c r="F54" s="15" t="str"/>
      <x:c r="G54" s="15" t="str"/>
      <x:c r="H54" s="15" t="str"/>
      <x:c r="I54" s="15" t="str"/>
      <x:c r="J54" s="15" t="str"/>
    </x:row>
  </x:sheetData>
  <x:mergeCells>
    <x:mergeCell ref="A1:J1"/>
    <x:mergeCell ref="A2:J2"/>
  </x:mergeCells>
  <x:conditionalFormatting sqref="E5:E54">
    <x:cfRule type="containsText" dxfId="94" priority="1" operator="containsText" text="2016"/>
  </x:conditionalFormatting>
  <x:dataValidations count="3">
    <x:dataValidation type="list" sqref="B5:B54">
      <x:formula1>"Web,Database,HA Listener,Batch,Service,Unknown"</x:formula1>
    </x:dataValidation>
    <x:dataValidation type="list" sqref="G5:G54">
      <x:formula1>'Assumptions'!$Q$27:$Q$34</x:formula1>
    </x:dataValidation>
    <x:dataValidation type="list" sqref="I5:I54">
      <x:formula1>"Yes,No,TBD"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021f0798eb49c5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6" hidden="0" customWidth="1"/>
    <x:col min="4" max="4" width="32" hidden="0" customWidth="1"/>
    <x:col min="5" max="5" width="22" hidden="0" customWidth="1"/>
    <x:col min="6" max="6" width="20" hidden="0" customWidth="1"/>
    <x:col min="7" max="7" width="20" hidden="0" customWidth="1"/>
    <x:col min="8" max="8" width="16" hidden="0" customWidth="1"/>
    <x:col min="9" max="9" width="34" hidden="0" customWidth="1"/>
  </x:cols>
  <x:sheetData>
    <x:row r="1" ht="30" customHeight="1">
      <x:c r="A1" s="38" t="str">
        <x:v>NH Accounts</x:v>
      </x:c>
      <x:c r="B1" s="38" t="str">
        <x:v>NH Accounts</x:v>
      </x:c>
      <x:c r="C1" s="38" t="str">
        <x:v>NH Accounts</x:v>
      </x:c>
      <x:c r="D1" s="38" t="str">
        <x:v>NH Accounts</x:v>
      </x:c>
      <x:c r="E1" s="38" t="str">
        <x:v>NH Accounts</x:v>
      </x:c>
      <x:c r="F1" s="38" t="str">
        <x:v>NH Accounts</x:v>
      </x:c>
      <x:c r="G1" s="38" t="str">
        <x:v>NH Accounts</x:v>
      </x:c>
      <x:c r="H1" s="38" t="str">
        <x:v>NH Accounts</x:v>
      </x:c>
      <x:c r="I1" s="38" t="str">
        <x:v>NH Accounts</x:v>
      </x:c>
    </x:row>
    <x:row r="2" ht="34" customHeight="1">
      <x:c r="A2" s="39" t="str">
        <x:v>Track account onboarding/configuration details needed for CyberArk and related locations.</x:v>
      </x:c>
      <x:c r="B2" s="39" t="str">
        <x:v>Track account onboarding/configuration details needed for CyberArk and related locations.</x:v>
      </x:c>
      <x:c r="C2" s="39" t="str">
        <x:v>Track account onboarding/configuration details needed for CyberArk and related locations.</x:v>
      </x:c>
      <x:c r="D2" s="39" t="str">
        <x:v>Track account onboarding/configuration details needed for CyberArk and related locations.</x:v>
      </x:c>
      <x:c r="E2" s="39" t="str">
        <x:v>Track account onboarding/configuration details needed for CyberArk and related locations.</x:v>
      </x:c>
      <x:c r="F2" s="39" t="str">
        <x:v>Track account onboarding/configuration details needed for CyberArk and related locations.</x:v>
      </x:c>
      <x:c r="G2" s="39" t="str">
        <x:v>Track account onboarding/configuration details needed for CyberArk and related locations.</x:v>
      </x:c>
      <x:c r="H2" s="39" t="str">
        <x:v>Track account onboarding/configuration details needed for CyberArk and related locations.</x:v>
      </x:c>
      <x:c r="I2" s="39" t="str">
        <x:v>Track account onboarding/configuration details needed for CyberArk and related locations.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</x:row>
    <x:row r="4" ht="34" customHeight="1">
      <x:c r="A4" s="44" t="str">
        <x:v>Account Description</x:v>
      </x:c>
      <x:c r="B4" s="44" t="str">
        <x:v>Account Name</x:v>
      </x:c>
      <x:c r="C4" s="44" t="str">
        <x:v>EPV Onboarded</x:v>
      </x:c>
      <x:c r="D4" s="44" t="str">
        <x:v>Locations Configured</x:v>
      </x:c>
      <x:c r="E4" s="44" t="str">
        <x:v>Safe Name</x:v>
      </x:c>
      <x:c r="F4" s="44" t="str">
        <x:v>Platform</x:v>
      </x:c>
      <x:c r="G4" s="44" t="str">
        <x:v>Owner</x:v>
      </x:c>
      <x:c r="H4" s="44" t="str">
        <x:v>Status</x:v>
      </x:c>
      <x:c r="I4" s="44" t="str">
        <x:v>Notes</x:v>
      </x:c>
    </x:row>
    <x:row r="5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  <x:c r="I5" s="15" t="str"/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  <x:c r="I7" s="15" t="str"/>
    </x:row>
    <x:row r="8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  <x:c r="I8" s="15" t="str"/>
    </x:row>
    <x:row r="9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  <x:c r="I9" s="15" t="str"/>
    </x:row>
    <x:row r="10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</x:row>
    <x:row r="1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</x:row>
    <x:row r="12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</x:row>
    <x:row r="13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</x:row>
    <x:row r="14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</x:row>
    <x:row r="15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</x:row>
    <x:row r="16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</x:row>
    <x:row r="17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</x:row>
    <x:row r="18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</x:row>
    <x:row r="19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</x:row>
    <x:row r="20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</x:row>
    <x:row r="2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</x:row>
    <x:row r="22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</x:row>
    <x:row r="23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</x:row>
    <x:row r="24">
      <x:c r="A24" s="15" t="str"/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</x:row>
    <x:row r="25">
      <x:c r="A25" s="15" t="str"/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</x:row>
    <x:row r="26">
      <x:c r="A26" s="15" t="str"/>
      <x:c r="B26" s="15" t="str"/>
      <x:c r="C26" s="15" t="str"/>
      <x:c r="D26" s="15" t="str"/>
      <x:c r="E26" s="15" t="str"/>
      <x:c r="F26" s="15" t="str"/>
      <x:c r="G26" s="15" t="str"/>
      <x:c r="H26" s="15" t="str"/>
      <x:c r="I26" s="15" t="str"/>
    </x:row>
    <x:row r="27">
      <x:c r="A27" s="15" t="str"/>
      <x:c r="B27" s="15" t="str"/>
      <x:c r="C27" s="15" t="str"/>
      <x:c r="D27" s="15" t="str"/>
      <x:c r="E27" s="15" t="str"/>
      <x:c r="F27" s="15" t="str"/>
      <x:c r="G27" s="15" t="str"/>
      <x:c r="H27" s="15" t="str"/>
      <x:c r="I27" s="15" t="str"/>
    </x:row>
    <x:row r="28">
      <x:c r="A28" s="15" t="str"/>
      <x:c r="B28" s="15" t="str"/>
      <x:c r="C28" s="15" t="str"/>
      <x:c r="D28" s="15" t="str"/>
      <x:c r="E28" s="15" t="str"/>
      <x:c r="F28" s="15" t="str"/>
      <x:c r="G28" s="15" t="str"/>
      <x:c r="H28" s="15" t="str"/>
      <x:c r="I28" s="15" t="str"/>
    </x:row>
    <x:row r="29">
      <x:c r="A29" s="15" t="str"/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</x:row>
    <x:row r="30">
      <x:c r="A30" s="15" t="str"/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</x:row>
    <x:row r="31">
      <x:c r="A31" s="15" t="str"/>
      <x:c r="B31" s="15" t="str"/>
      <x:c r="C31" s="15" t="str"/>
      <x:c r="D31" s="15" t="str"/>
      <x:c r="E31" s="15" t="str"/>
      <x:c r="F31" s="15" t="str"/>
      <x:c r="G31" s="15" t="str"/>
      <x:c r="H31" s="15" t="str"/>
      <x:c r="I31" s="15" t="str"/>
    </x:row>
    <x:row r="32">
      <x:c r="A32" s="15" t="str"/>
      <x:c r="B32" s="15" t="str"/>
      <x:c r="C32" s="15" t="str"/>
      <x:c r="D32" s="15" t="str"/>
      <x:c r="E32" s="15" t="str"/>
      <x:c r="F32" s="15" t="str"/>
      <x:c r="G32" s="15" t="str"/>
      <x:c r="H32" s="15" t="str"/>
      <x:c r="I32" s="15" t="str"/>
    </x:row>
    <x:row r="33">
      <x:c r="A33" s="15" t="str"/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</x:row>
    <x:row r="34">
      <x:c r="A34" s="15" t="str"/>
      <x:c r="B34" s="15" t="str"/>
      <x:c r="C34" s="15" t="str"/>
      <x:c r="D34" s="15" t="str"/>
      <x:c r="E34" s="15" t="str"/>
      <x:c r="F34" s="15" t="str"/>
      <x:c r="G34" s="15" t="str"/>
      <x:c r="H34" s="15" t="str"/>
      <x:c r="I34" s="15" t="str"/>
    </x:row>
    <x:row r="35">
      <x:c r="A35" s="15" t="str"/>
      <x:c r="B35" s="15" t="str"/>
      <x:c r="C35" s="15" t="str"/>
      <x:c r="D35" s="15" t="str"/>
      <x:c r="E35" s="15" t="str"/>
      <x:c r="F35" s="15" t="str"/>
      <x:c r="G35" s="15" t="str"/>
      <x:c r="H35" s="15" t="str"/>
      <x:c r="I35" s="15" t="str"/>
    </x:row>
    <x:row r="36">
      <x:c r="A36" s="15" t="str"/>
      <x:c r="B36" s="15" t="str"/>
      <x:c r="C36" s="15" t="str"/>
      <x:c r="D36" s="15" t="str"/>
      <x:c r="E36" s="15" t="str"/>
      <x:c r="F36" s="15" t="str"/>
      <x:c r="G36" s="15" t="str"/>
      <x:c r="H36" s="15" t="str"/>
      <x:c r="I36" s="15" t="str"/>
    </x:row>
    <x:row r="37">
      <x:c r="A37" s="15" t="str"/>
      <x:c r="B37" s="15" t="str"/>
      <x:c r="C37" s="15" t="str"/>
      <x:c r="D37" s="15" t="str"/>
      <x:c r="E37" s="15" t="str"/>
      <x:c r="F37" s="15" t="str"/>
      <x:c r="G37" s="15" t="str"/>
      <x:c r="H37" s="15" t="str"/>
      <x:c r="I37" s="15" t="str"/>
    </x:row>
    <x:row r="38">
      <x:c r="A38" s="15" t="str"/>
      <x:c r="B38" s="15" t="str"/>
      <x:c r="C38" s="15" t="str"/>
      <x:c r="D38" s="15" t="str"/>
      <x:c r="E38" s="15" t="str"/>
      <x:c r="F38" s="15" t="str"/>
      <x:c r="G38" s="15" t="str"/>
      <x:c r="H38" s="15" t="str"/>
      <x:c r="I38" s="15" t="str"/>
    </x:row>
    <x:row r="39">
      <x:c r="A39" s="15" t="str"/>
      <x:c r="B39" s="15" t="str"/>
      <x:c r="C39" s="15" t="str"/>
      <x:c r="D39" s="15" t="str"/>
      <x:c r="E39" s="15" t="str"/>
      <x:c r="F39" s="15" t="str"/>
      <x:c r="G39" s="15" t="str"/>
      <x:c r="H39" s="15" t="str"/>
      <x:c r="I39" s="15" t="str"/>
    </x:row>
    <x:row r="40">
      <x:c r="A40" s="15" t="str"/>
      <x:c r="B40" s="15" t="str"/>
      <x:c r="C40" s="15" t="str"/>
      <x:c r="D40" s="15" t="str"/>
      <x:c r="E40" s="15" t="str"/>
      <x:c r="F40" s="15" t="str"/>
      <x:c r="G40" s="15" t="str"/>
      <x:c r="H40" s="15" t="str"/>
      <x:c r="I40" s="15" t="str"/>
    </x:row>
    <x:row r="41">
      <x:c r="A41" s="15" t="str"/>
      <x:c r="B41" s="15" t="str"/>
      <x:c r="C41" s="15" t="str"/>
      <x:c r="D41" s="15" t="str"/>
      <x:c r="E41" s="15" t="str"/>
      <x:c r="F41" s="15" t="str"/>
      <x:c r="G41" s="15" t="str"/>
      <x:c r="H41" s="15" t="str"/>
      <x:c r="I41" s="15" t="str"/>
    </x:row>
    <x:row r="42">
      <x:c r="A42" s="15" t="str"/>
      <x:c r="B42" s="15" t="str"/>
      <x:c r="C42" s="15" t="str"/>
      <x:c r="D42" s="15" t="str"/>
      <x:c r="E42" s="15" t="str"/>
      <x:c r="F42" s="15" t="str"/>
      <x:c r="G42" s="15" t="str"/>
      <x:c r="H42" s="15" t="str"/>
      <x:c r="I42" s="15" t="str"/>
    </x:row>
    <x:row r="43">
      <x:c r="A43" s="15" t="str"/>
      <x:c r="B43" s="15" t="str"/>
      <x:c r="C43" s="15" t="str"/>
      <x:c r="D43" s="15" t="str"/>
      <x:c r="E43" s="15" t="str"/>
      <x:c r="F43" s="15" t="str"/>
      <x:c r="G43" s="15" t="str"/>
      <x:c r="H43" s="15" t="str"/>
      <x:c r="I43" s="15" t="str"/>
    </x:row>
    <x:row r="44">
      <x:c r="A44" s="15" t="str"/>
      <x:c r="B44" s="15" t="str"/>
      <x:c r="C44" s="15" t="str"/>
      <x:c r="D44" s="15" t="str"/>
      <x:c r="E44" s="15" t="str"/>
      <x:c r="F44" s="15" t="str"/>
      <x:c r="G44" s="15" t="str"/>
      <x:c r="H44" s="15" t="str"/>
      <x:c r="I44" s="15" t="str"/>
    </x:row>
    <x:row r="45">
      <x:c r="A45" s="15" t="str"/>
      <x:c r="B45" s="15" t="str"/>
      <x:c r="C45" s="15" t="str"/>
      <x:c r="D45" s="15" t="str"/>
      <x:c r="E45" s="15" t="str"/>
      <x:c r="F45" s="15" t="str"/>
      <x:c r="G45" s="15" t="str"/>
      <x:c r="H45" s="15" t="str"/>
      <x:c r="I45" s="15" t="str"/>
    </x:row>
    <x:row r="46">
      <x:c r="A46" s="15" t="str"/>
      <x:c r="B46" s="15" t="str"/>
      <x:c r="C46" s="15" t="str"/>
      <x:c r="D46" s="15" t="str"/>
      <x:c r="E46" s="15" t="str"/>
      <x:c r="F46" s="15" t="str"/>
      <x:c r="G46" s="15" t="str"/>
      <x:c r="H46" s="15" t="str"/>
      <x:c r="I46" s="15" t="str"/>
    </x:row>
    <x:row r="47">
      <x:c r="A47" s="15" t="str"/>
      <x:c r="B47" s="15" t="str"/>
      <x:c r="C47" s="15" t="str"/>
      <x:c r="D47" s="15" t="str"/>
      <x:c r="E47" s="15" t="str"/>
      <x:c r="F47" s="15" t="str"/>
      <x:c r="G47" s="15" t="str"/>
      <x:c r="H47" s="15" t="str"/>
      <x:c r="I47" s="15" t="str"/>
    </x:row>
    <x:row r="48">
      <x:c r="A48" s="15" t="str"/>
      <x:c r="B48" s="15" t="str"/>
      <x:c r="C48" s="15" t="str"/>
      <x:c r="D48" s="15" t="str"/>
      <x:c r="E48" s="15" t="str"/>
      <x:c r="F48" s="15" t="str"/>
      <x:c r="G48" s="15" t="str"/>
      <x:c r="H48" s="15" t="str"/>
      <x:c r="I48" s="15" t="str"/>
    </x:row>
    <x:row r="49">
      <x:c r="A49" s="15" t="str"/>
      <x:c r="B49" s="15" t="str"/>
      <x:c r="C49" s="15" t="str"/>
      <x:c r="D49" s="15" t="str"/>
      <x:c r="E49" s="15" t="str"/>
      <x:c r="F49" s="15" t="str"/>
      <x:c r="G49" s="15" t="str"/>
      <x:c r="H49" s="15" t="str"/>
      <x:c r="I49" s="15" t="str"/>
    </x:row>
    <x:row r="50">
      <x:c r="A50" s="15" t="str"/>
      <x:c r="B50" s="15" t="str"/>
      <x:c r="C50" s="15" t="str"/>
      <x:c r="D50" s="15" t="str"/>
      <x:c r="E50" s="15" t="str"/>
      <x:c r="F50" s="15" t="str"/>
      <x:c r="G50" s="15" t="str"/>
      <x:c r="H50" s="15" t="str"/>
      <x:c r="I50" s="15" t="str"/>
    </x:row>
    <x:row r="51">
      <x:c r="A51" s="15" t="str"/>
      <x:c r="B51" s="15" t="str"/>
      <x:c r="C51" s="15" t="str"/>
      <x:c r="D51" s="15" t="str"/>
      <x:c r="E51" s="15" t="str"/>
      <x:c r="F51" s="15" t="str"/>
      <x:c r="G51" s="15" t="str"/>
      <x:c r="H51" s="15" t="str"/>
      <x:c r="I51" s="15" t="str"/>
    </x:row>
    <x:row r="52">
      <x:c r="A52" s="15" t="str"/>
      <x:c r="B52" s="15" t="str"/>
      <x:c r="C52" s="15" t="str"/>
      <x:c r="D52" s="15" t="str"/>
      <x:c r="E52" s="15" t="str"/>
      <x:c r="F52" s="15" t="str"/>
      <x:c r="G52" s="15" t="str"/>
      <x:c r="H52" s="15" t="str"/>
      <x:c r="I52" s="15" t="str"/>
    </x:row>
    <x:row r="53">
      <x:c r="A53" s="15" t="str"/>
      <x:c r="B53" s="15" t="str"/>
      <x:c r="C53" s="15" t="str"/>
      <x:c r="D53" s="15" t="str"/>
      <x:c r="E53" s="15" t="str"/>
      <x:c r="F53" s="15" t="str"/>
      <x:c r="G53" s="15" t="str"/>
      <x:c r="H53" s="15" t="str"/>
      <x:c r="I53" s="15" t="str"/>
    </x:row>
    <x:row r="54">
      <x:c r="A54" s="15" t="str"/>
      <x:c r="B54" s="15" t="str"/>
      <x:c r="C54" s="15" t="str"/>
      <x:c r="D54" s="15" t="str"/>
      <x:c r="E54" s="15" t="str"/>
      <x:c r="F54" s="15" t="str"/>
      <x:c r="G54" s="15" t="str"/>
      <x:c r="H54" s="15" t="str"/>
      <x:c r="I54" s="15" t="str"/>
    </x:row>
  </x:sheetData>
  <x:mergeCells>
    <x:mergeCell ref="A1:I1"/>
    <x:mergeCell ref="A2:I2"/>
  </x:mergeCells>
  <x:conditionalFormatting sqref="H5:H54">
    <x:cfRule type="containsText" dxfId="95" priority="1" operator="containsText" text="Complete"/>
    <x:cfRule type="containsText" dxfId="96" priority="2" operator="containsText" text="Blocked"/>
    <x:cfRule type="containsText" dxfId="97" priority="3" operator="containsText" text="At Risk"/>
    <x:cfRule type="containsText" dxfId="98" priority="4" operator="containsText" text="In Progress"/>
  </x:conditionalFormatting>
  <x:dataValidations count="2">
    <x:dataValidation type="list" sqref="C5:C54">
      <x:formula1>"Yes,No,Partial,TBD"</x:formula1>
    </x:dataValidation>
    <x:dataValidation type="list" sqref="H5:H54">
      <x:formula1>'Assumptions'!$U$27:$U$34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52919581db420b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14" hidden="0" customWidth="1"/>
    <x:col min="4" max="4" width="24" hidden="0" customWidth="1"/>
    <x:col min="5" max="5" width="16" hidden="0" customWidth="1"/>
    <x:col min="6" max="6" width="44" hidden="0" customWidth="1"/>
  </x:cols>
  <x:sheetData>
    <x:row r="1" ht="30" customHeight="1">
      <x:c r="A1" s="38" t="str">
        <x:v>Reference</x:v>
      </x:c>
      <x:c r="B1" s="38" t="str">
        <x:v>Reference</x:v>
      </x:c>
      <x:c r="C1" s="38" t="str">
        <x:v>Reference</x:v>
      </x:c>
      <x:c r="D1" s="38" t="str">
        <x:v>Reference</x:v>
      </x:c>
      <x:c r="E1" s="38" t="str">
        <x:v>Reference</x:v>
      </x:c>
      <x:c r="F1" s="38" t="str">
        <x:v>Reference</x:v>
      </x:c>
    </x:row>
    <x:row r="2" ht="34" customHeight="1">
      <x:c r="A2" s="39" t="str">
        <x:v>Central place for Jira boards, URLs, contacts, permits, and important project references.</x:v>
      </x:c>
      <x:c r="B2" s="39" t="str">
        <x:v>Central place for Jira boards, URLs, contacts, permits, and important project references.</x:v>
      </x:c>
      <x:c r="C2" s="39" t="str">
        <x:v>Central place for Jira boards, URLs, contacts, permits, and important project references.</x:v>
      </x:c>
      <x:c r="D2" s="39" t="str">
        <x:v>Central place for Jira boards, URLs, contacts, permits, and important project references.</x:v>
      </x:c>
      <x:c r="E2" s="39" t="str">
        <x:v>Central place for Jira boards, URLs, contacts, permits, and important project references.</x:v>
      </x:c>
      <x:c r="F2" s="39" t="str">
        <x:v>Central place for Jira boards, URLs, contacts, permits, and important project references.</x:v>
      </x:c>
    </x:row>
    <x:row r="3">
      <x:c r="A3" s="40"/>
      <x:c r="B3" s="40"/>
      <x:c r="C3" s="40"/>
      <x:c r="D3" s="40"/>
      <x:c r="E3" s="40"/>
      <x:c r="F3" s="40"/>
    </x:row>
    <x:row r="4" ht="34" customHeight="1">
      <x:c r="A4" s="44" t="str">
        <x:v>Description</x:v>
      </x:c>
      <x:c r="B4" s="44" t="str">
        <x:v>Link / Value</x:v>
      </x:c>
      <x:c r="C4" s="44" t="str">
        <x:v>Jira Code</x:v>
      </x:c>
      <x:c r="D4" s="44" t="str">
        <x:v>Owner / Contact</x:v>
      </x:c>
      <x:c r="E4" s="44" t="str">
        <x:v>Type</x:v>
      </x:c>
      <x:c r="F4" s="44" t="str">
        <x:v>Notes</x:v>
      </x:c>
    </x:row>
    <x:row r="5">
      <x:c r="A5" s="15" t="str"/>
      <x:c r="B5" s="15" t="str"/>
      <x:c r="C5" s="15" t="str"/>
      <x:c r="D5" s="15" t="str"/>
      <x:c r="E5" s="15" t="str"/>
      <x:c r="F5" s="15" t="str"/>
    </x:row>
    <x:row r="6">
      <x:c r="A6" s="15" t="str"/>
      <x:c r="B6" s="15" t="str"/>
      <x:c r="C6" s="15" t="str"/>
      <x:c r="D6" s="15" t="str"/>
      <x:c r="E6" s="15" t="str"/>
      <x:c r="F6" s="15" t="str"/>
    </x:row>
    <x:row r="7">
      <x:c r="A7" s="15" t="str"/>
      <x:c r="B7" s="15" t="str"/>
      <x:c r="C7" s="15" t="str"/>
      <x:c r="D7" s="15" t="str"/>
      <x:c r="E7" s="15" t="str"/>
      <x:c r="F7" s="15" t="str"/>
    </x:row>
    <x:row r="8">
      <x:c r="A8" s="15" t="str"/>
      <x:c r="B8" s="15" t="str"/>
      <x:c r="C8" s="15" t="str"/>
      <x:c r="D8" s="15" t="str"/>
      <x:c r="E8" s="15" t="str"/>
      <x:c r="F8" s="15" t="str"/>
    </x:row>
    <x:row r="9">
      <x:c r="A9" s="15" t="str"/>
      <x:c r="B9" s="15" t="str"/>
      <x:c r="C9" s="15" t="str"/>
      <x:c r="D9" s="15" t="str"/>
      <x:c r="E9" s="15" t="str"/>
      <x:c r="F9" s="15" t="str"/>
    </x:row>
    <x:row r="10">
      <x:c r="A10" s="15" t="str"/>
      <x:c r="B10" s="15" t="str"/>
      <x:c r="C10" s="15" t="str"/>
      <x:c r="D10" s="15" t="str"/>
      <x:c r="E10" s="15" t="str"/>
      <x:c r="F10" s="15" t="str"/>
    </x:row>
    <x:row r="11">
      <x:c r="A11" s="15" t="str"/>
      <x:c r="B11" s="15" t="str"/>
      <x:c r="C11" s="15" t="str"/>
      <x:c r="D11" s="15" t="str"/>
      <x:c r="E11" s="15" t="str"/>
      <x:c r="F11" s="15" t="str"/>
    </x:row>
    <x:row r="12">
      <x:c r="A12" s="15" t="str"/>
      <x:c r="B12" s="15" t="str"/>
      <x:c r="C12" s="15" t="str"/>
      <x:c r="D12" s="15" t="str"/>
      <x:c r="E12" s="15" t="str"/>
      <x:c r="F12" s="15" t="str"/>
    </x:row>
    <x:row r="13">
      <x:c r="A13" s="15" t="str"/>
      <x:c r="B13" s="15" t="str"/>
      <x:c r="C13" s="15" t="str"/>
      <x:c r="D13" s="15" t="str"/>
      <x:c r="E13" s="15" t="str"/>
      <x:c r="F13" s="15" t="str"/>
    </x:row>
    <x:row r="14">
      <x:c r="A14" s="15" t="str"/>
      <x:c r="B14" s="15" t="str"/>
      <x:c r="C14" s="15" t="str"/>
      <x:c r="D14" s="15" t="str"/>
      <x:c r="E14" s="15" t="str"/>
      <x:c r="F14" s="15" t="str"/>
    </x:row>
    <x:row r="15">
      <x:c r="A15" s="15" t="str"/>
      <x:c r="B15" s="15" t="str"/>
      <x:c r="C15" s="15" t="str"/>
      <x:c r="D15" s="15" t="str"/>
      <x:c r="E15" s="15" t="str"/>
      <x:c r="F15" s="15" t="str"/>
    </x:row>
    <x:row r="16">
      <x:c r="A16" s="15" t="str"/>
      <x:c r="B16" s="15" t="str"/>
      <x:c r="C16" s="15" t="str"/>
      <x:c r="D16" s="15" t="str"/>
      <x:c r="E16" s="15" t="str"/>
      <x:c r="F16" s="15" t="str"/>
    </x:row>
    <x:row r="17">
      <x:c r="A17" s="15" t="str"/>
      <x:c r="B17" s="15" t="str"/>
      <x:c r="C17" s="15" t="str"/>
      <x:c r="D17" s="15" t="str"/>
      <x:c r="E17" s="15" t="str"/>
      <x:c r="F17" s="15" t="str"/>
    </x:row>
    <x:row r="18">
      <x:c r="A18" s="15" t="str"/>
      <x:c r="B18" s="15" t="str"/>
      <x:c r="C18" s="15" t="str"/>
      <x:c r="D18" s="15" t="str"/>
      <x:c r="E18" s="15" t="str"/>
      <x:c r="F18" s="15" t="str"/>
    </x:row>
    <x:row r="19">
      <x:c r="A19" s="15" t="str"/>
      <x:c r="B19" s="15" t="str"/>
      <x:c r="C19" s="15" t="str"/>
      <x:c r="D19" s="15" t="str"/>
      <x:c r="E19" s="15" t="str"/>
      <x:c r="F19" s="15" t="str"/>
    </x:row>
    <x:row r="20">
      <x:c r="A20" s="15" t="str"/>
      <x:c r="B20" s="15" t="str"/>
      <x:c r="C20" s="15" t="str"/>
      <x:c r="D20" s="15" t="str"/>
      <x:c r="E20" s="15" t="str"/>
      <x:c r="F20" s="15" t="str"/>
    </x:row>
    <x:row r="21">
      <x:c r="A21" s="15" t="str"/>
      <x:c r="B21" s="15" t="str"/>
      <x:c r="C21" s="15" t="str"/>
      <x:c r="D21" s="15" t="str"/>
      <x:c r="E21" s="15" t="str"/>
      <x:c r="F21" s="15" t="str"/>
    </x:row>
    <x:row r="22">
      <x:c r="A22" s="15" t="str"/>
      <x:c r="B22" s="15" t="str"/>
      <x:c r="C22" s="15" t="str"/>
      <x:c r="D22" s="15" t="str"/>
      <x:c r="E22" s="15" t="str"/>
      <x:c r="F22" s="15" t="str"/>
    </x:row>
    <x:row r="23">
      <x:c r="A23" s="15" t="str"/>
      <x:c r="B23" s="15" t="str"/>
      <x:c r="C23" s="15" t="str"/>
      <x:c r="D23" s="15" t="str"/>
      <x:c r="E23" s="15" t="str"/>
      <x:c r="F23" s="15" t="str"/>
    </x:row>
    <x:row r="24">
      <x:c r="A24" s="15" t="str"/>
      <x:c r="B24" s="15" t="str"/>
      <x:c r="C24" s="15" t="str"/>
      <x:c r="D24" s="15" t="str"/>
      <x:c r="E24" s="15" t="str"/>
      <x:c r="F24" s="15" t="str"/>
    </x:row>
    <x:row r="25">
      <x:c r="A25" s="15" t="str"/>
      <x:c r="B25" s="15" t="str"/>
      <x:c r="C25" s="15" t="str"/>
      <x:c r="D25" s="15" t="str"/>
      <x:c r="E25" s="15" t="str"/>
      <x:c r="F25" s="15" t="str"/>
    </x:row>
    <x:row r="26">
      <x:c r="A26" s="15" t="str"/>
      <x:c r="B26" s="15" t="str"/>
      <x:c r="C26" s="15" t="str"/>
      <x:c r="D26" s="15" t="str"/>
      <x:c r="E26" s="15" t="str"/>
      <x:c r="F26" s="15" t="str"/>
    </x:row>
    <x:row r="27">
      <x:c r="A27" s="15" t="str"/>
      <x:c r="B27" s="15" t="str"/>
      <x:c r="C27" s="15" t="str"/>
      <x:c r="D27" s="15" t="str"/>
      <x:c r="E27" s="15" t="str"/>
      <x:c r="F27" s="15" t="str"/>
    </x:row>
    <x:row r="28">
      <x:c r="A28" s="15" t="str"/>
      <x:c r="B28" s="15" t="str"/>
      <x:c r="C28" s="15" t="str"/>
      <x:c r="D28" s="15" t="str"/>
      <x:c r="E28" s="15" t="str"/>
      <x:c r="F28" s="15" t="str"/>
    </x:row>
    <x:row r="29">
      <x:c r="A29" s="15" t="str"/>
      <x:c r="B29" s="15" t="str"/>
      <x:c r="C29" s="15" t="str"/>
      <x:c r="D29" s="15" t="str"/>
      <x:c r="E29" s="15" t="str"/>
      <x:c r="F29" s="15" t="str"/>
    </x:row>
    <x:row r="30">
      <x:c r="A30" s="15" t="str"/>
      <x:c r="B30" s="15" t="str"/>
      <x:c r="C30" s="15" t="str"/>
      <x:c r="D30" s="15" t="str"/>
      <x:c r="E30" s="15" t="str"/>
      <x:c r="F30" s="15" t="str"/>
    </x:row>
    <x:row r="31">
      <x:c r="A31" s="15" t="str"/>
      <x:c r="B31" s="15" t="str"/>
      <x:c r="C31" s="15" t="str"/>
      <x:c r="D31" s="15" t="str"/>
      <x:c r="E31" s="15" t="str"/>
      <x:c r="F31" s="15" t="str"/>
    </x:row>
    <x:row r="32">
      <x:c r="A32" s="15" t="str"/>
      <x:c r="B32" s="15" t="str"/>
      <x:c r="C32" s="15" t="str"/>
      <x:c r="D32" s="15" t="str"/>
      <x:c r="E32" s="15" t="str"/>
      <x:c r="F32" s="15" t="str"/>
    </x:row>
    <x:row r="33">
      <x:c r="A33" s="15" t="str"/>
      <x:c r="B33" s="15" t="str"/>
      <x:c r="C33" s="15" t="str"/>
      <x:c r="D33" s="15" t="str"/>
      <x:c r="E33" s="15" t="str"/>
      <x:c r="F33" s="15" t="str"/>
    </x:row>
    <x:row r="34">
      <x:c r="A34" s="15" t="str"/>
      <x:c r="B34" s="15" t="str"/>
      <x:c r="C34" s="15" t="str"/>
      <x:c r="D34" s="15" t="str"/>
      <x:c r="E34" s="15" t="str"/>
      <x:c r="F34" s="15" t="str"/>
    </x:row>
    <x:row r="35">
      <x:c r="A35" s="15" t="str"/>
      <x:c r="B35" s="15" t="str"/>
      <x:c r="C35" s="15" t="str"/>
      <x:c r="D35" s="15" t="str"/>
      <x:c r="E35" s="15" t="str"/>
      <x:c r="F35" s="15" t="str"/>
    </x:row>
    <x:row r="36">
      <x:c r="A36" s="15" t="str"/>
      <x:c r="B36" s="15" t="str"/>
      <x:c r="C36" s="15" t="str"/>
      <x:c r="D36" s="15" t="str"/>
      <x:c r="E36" s="15" t="str"/>
      <x:c r="F36" s="15" t="str"/>
    </x:row>
    <x:row r="37">
      <x:c r="A37" s="15" t="str"/>
      <x:c r="B37" s="15" t="str"/>
      <x:c r="C37" s="15" t="str"/>
      <x:c r="D37" s="15" t="str"/>
      <x:c r="E37" s="15" t="str"/>
      <x:c r="F37" s="15" t="str"/>
    </x:row>
    <x:row r="38">
      <x:c r="A38" s="15" t="str"/>
      <x:c r="B38" s="15" t="str"/>
      <x:c r="C38" s="15" t="str"/>
      <x:c r="D38" s="15" t="str"/>
      <x:c r="E38" s="15" t="str"/>
      <x:c r="F38" s="15" t="str"/>
    </x:row>
    <x:row r="39">
      <x:c r="A39" s="15" t="str"/>
      <x:c r="B39" s="15" t="str"/>
      <x:c r="C39" s="15" t="str"/>
      <x:c r="D39" s="15" t="str"/>
      <x:c r="E39" s="15" t="str"/>
      <x:c r="F39" s="15" t="str"/>
    </x:row>
    <x:row r="40">
      <x:c r="A40" s="15" t="str"/>
      <x:c r="B40" s="15" t="str"/>
      <x:c r="C40" s="15" t="str"/>
      <x:c r="D40" s="15" t="str"/>
      <x:c r="E40" s="15" t="str"/>
      <x:c r="F40" s="15" t="str"/>
    </x:row>
    <x:row r="41">
      <x:c r="A41" s="15" t="str"/>
      <x:c r="B41" s="15" t="str"/>
      <x:c r="C41" s="15" t="str"/>
      <x:c r="D41" s="15" t="str"/>
      <x:c r="E41" s="15" t="str"/>
      <x:c r="F41" s="15" t="str"/>
    </x:row>
    <x:row r="42">
      <x:c r="A42" s="15" t="str"/>
      <x:c r="B42" s="15" t="str"/>
      <x:c r="C42" s="15" t="str"/>
      <x:c r="D42" s="15" t="str"/>
      <x:c r="E42" s="15" t="str"/>
      <x:c r="F42" s="15" t="str"/>
    </x:row>
    <x:row r="43">
      <x:c r="A43" s="15" t="str"/>
      <x:c r="B43" s="15" t="str"/>
      <x:c r="C43" s="15" t="str"/>
      <x:c r="D43" s="15" t="str"/>
      <x:c r="E43" s="15" t="str"/>
      <x:c r="F43" s="15" t="str"/>
    </x:row>
    <x:row r="44">
      <x:c r="A44" s="15" t="str"/>
      <x:c r="B44" s="15" t="str"/>
      <x:c r="C44" s="15" t="str"/>
      <x:c r="D44" s="15" t="str"/>
      <x:c r="E44" s="15" t="str"/>
      <x:c r="F44" s="15" t="str"/>
    </x:row>
    <x:row r="45">
      <x:c r="A45" s="15" t="str"/>
      <x:c r="B45" s="15" t="str"/>
      <x:c r="C45" s="15" t="str"/>
      <x:c r="D45" s="15" t="str"/>
      <x:c r="E45" s="15" t="str"/>
      <x:c r="F45" s="15" t="str"/>
    </x:row>
    <x:row r="46">
      <x:c r="A46" s="15" t="str"/>
      <x:c r="B46" s="15" t="str"/>
      <x:c r="C46" s="15" t="str"/>
      <x:c r="D46" s="15" t="str"/>
      <x:c r="E46" s="15" t="str"/>
      <x:c r="F46" s="15" t="str"/>
    </x:row>
    <x:row r="47">
      <x:c r="A47" s="15" t="str"/>
      <x:c r="B47" s="15" t="str"/>
      <x:c r="C47" s="15" t="str"/>
      <x:c r="D47" s="15" t="str"/>
      <x:c r="E47" s="15" t="str"/>
      <x:c r="F47" s="15" t="str"/>
    </x:row>
    <x:row r="48">
      <x:c r="A48" s="15" t="str"/>
      <x:c r="B48" s="15" t="str"/>
      <x:c r="C48" s="15" t="str"/>
      <x:c r="D48" s="15" t="str"/>
      <x:c r="E48" s="15" t="str"/>
      <x:c r="F48" s="15" t="str"/>
    </x:row>
    <x:row r="49">
      <x:c r="A49" s="15" t="str"/>
      <x:c r="B49" s="15" t="str"/>
      <x:c r="C49" s="15" t="str"/>
      <x:c r="D49" s="15" t="str"/>
      <x:c r="E49" s="15" t="str"/>
      <x:c r="F49" s="15" t="str"/>
    </x:row>
    <x:row r="50">
      <x:c r="A50" s="15" t="str"/>
      <x:c r="B50" s="15" t="str"/>
      <x:c r="C50" s="15" t="str"/>
      <x:c r="D50" s="15" t="str"/>
      <x:c r="E50" s="15" t="str"/>
      <x:c r="F50" s="15" t="str"/>
    </x:row>
    <x:row r="51">
      <x:c r="A51" s="15" t="str"/>
      <x:c r="B51" s="15" t="str"/>
      <x:c r="C51" s="15" t="str"/>
      <x:c r="D51" s="15" t="str"/>
      <x:c r="E51" s="15" t="str"/>
      <x:c r="F51" s="15" t="str"/>
    </x:row>
    <x:row r="52">
      <x:c r="A52" s="15" t="str"/>
      <x:c r="B52" s="15" t="str"/>
      <x:c r="C52" s="15" t="str"/>
      <x:c r="D52" s="15" t="str"/>
      <x:c r="E52" s="15" t="str"/>
      <x:c r="F52" s="15" t="str"/>
    </x:row>
    <x:row r="53">
      <x:c r="A53" s="15" t="str"/>
      <x:c r="B53" s="15" t="str"/>
      <x:c r="C53" s="15" t="str"/>
      <x:c r="D53" s="15" t="str"/>
      <x:c r="E53" s="15" t="str"/>
      <x:c r="F53" s="15" t="str"/>
    </x:row>
    <x:row r="54">
      <x:c r="A54" s="15" t="str"/>
      <x:c r="B54" s="15" t="str"/>
      <x:c r="C54" s="15" t="str"/>
      <x:c r="D54" s="15" t="str"/>
      <x:c r="E54" s="15" t="str"/>
      <x:c r="F54" s="15" t="str"/>
    </x:row>
  </x:sheetData>
  <x:mergeCells>
    <x:mergeCell ref="A1:F1"/>
    <x:mergeCell ref="A2:F2"/>
  </x:mergeCells>
  <x:dataValidations count="1">
    <x:dataValidation type="list" sqref="E5:E54">
      <x:formula1>"Jira,URL,Contact,Permit,Document,Environment,Other"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ea1096e6884e38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0" hidden="0" customWidth="1"/>
    <x:col min="5" max="5" width="16" hidden="0" customWidth="1"/>
    <x:col min="6" max="6" width="16" hidden="0" customWidth="1"/>
    <x:col min="7" max="7" width="20" hidden="0" customWidth="1"/>
    <x:col min="8" max="8" width="40" hidden="0" customWidth="1"/>
  </x:cols>
  <x:sheetData>
    <x:row r="1" ht="30" customHeight="1">
      <x:c r="A1" s="38" t="str">
        <x:v>Integrations</x:v>
      </x:c>
      <x:c r="B1" s="38" t="str">
        <x:v>Integrations</x:v>
      </x:c>
      <x:c r="C1" s="38" t="str">
        <x:v>Integrations</x:v>
      </x:c>
      <x:c r="D1" s="38" t="str">
        <x:v>Integrations</x:v>
      </x:c>
      <x:c r="E1" s="38" t="str">
        <x:v>Integrations</x:v>
      </x:c>
      <x:c r="F1" s="38" t="str">
        <x:v>Integrations</x:v>
      </x:c>
      <x:c r="G1" s="38" t="str">
        <x:v>Integrations</x:v>
      </x:c>
      <x:c r="H1" s="38" t="str">
        <x:v>Integrations</x:v>
      </x:c>
    </x:row>
    <x:row r="2" ht="34" customHeight="1">
      <x:c r="A2" s="39" t="str">
        <x:v>Track application integration contacts, allowed actions, status, and owner notes.</x:v>
      </x:c>
      <x:c r="B2" s="39" t="str">
        <x:v>Track application integration contacts, allowed actions, status, and owner notes.</x:v>
      </x:c>
      <x:c r="C2" s="39" t="str">
        <x:v>Track application integration contacts, allowed actions, status, and owner notes.</x:v>
      </x:c>
      <x:c r="D2" s="39" t="str">
        <x:v>Track application integration contacts, allowed actions, status, and owner notes.</x:v>
      </x:c>
      <x:c r="E2" s="39" t="str">
        <x:v>Track application integration contacts, allowed actions, status, and owner notes.</x:v>
      </x:c>
      <x:c r="F2" s="39" t="str">
        <x:v>Track application integration contacts, allowed actions, status, and owner notes.</x:v>
      </x:c>
      <x:c r="G2" s="39" t="str">
        <x:v>Track application integration contacts, allowed actions, status, and owner notes.</x:v>
      </x:c>
      <x:c r="H2" s="39" t="str">
        <x:v>Track application integration contacts, allowed actions, status, and owner notes.</x:v>
      </x:c>
    </x:row>
    <x:row r="3">
      <x:c r="A3" s="40"/>
      <x:c r="B3" s="40"/>
      <x:c r="C3" s="40"/>
      <x:c r="D3" s="40"/>
      <x:c r="E3" s="40"/>
      <x:c r="F3" s="40"/>
      <x:c r="G3" s="40"/>
      <x:c r="H3" s="40"/>
    </x:row>
    <x:row r="4" ht="34" customHeight="1">
      <x:c r="A4" s="44" t="str">
        <x:v>AppID</x:v>
      </x:c>
      <x:c r="B4" s="44" t="str">
        <x:v>Project Contact</x:v>
      </x:c>
      <x:c r="C4" s="44" t="str">
        <x:v>Tech Contact</x:v>
      </x:c>
      <x:c r="D4" s="44" t="str">
        <x:v>Allowed Actions</x:v>
      </x:c>
      <x:c r="E4" s="44" t="str">
        <x:v>Status</x:v>
      </x:c>
      <x:c r="F4" s="44" t="str">
        <x:v>Environment</x:v>
      </x:c>
      <x:c r="G4" s="44" t="str">
        <x:v>Jira / Request</x:v>
      </x:c>
      <x:c r="H4" s="44" t="str">
        <x:v>Notes</x:v>
      </x:c>
    </x:row>
    <x:row r="5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</x:row>
    <x:row r="8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</x:row>
    <x:row r="9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</x:row>
    <x:row r="10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</x:row>
    <x:row r="1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</x:row>
    <x:row r="12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</x:row>
    <x:row r="13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</x:row>
    <x:row r="14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</x:row>
    <x:row r="15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</x:row>
    <x:row r="16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</x:row>
    <x:row r="17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</x:row>
    <x:row r="18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</x:row>
    <x:row r="19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</x:row>
    <x:row r="20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</x:row>
    <x:row r="2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</x:row>
    <x:row r="22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</x:row>
    <x:row r="23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</x:row>
    <x:row r="24">
      <x:c r="A24" s="15" t="str"/>
      <x:c r="B24" s="15" t="str"/>
      <x:c r="C24" s="15" t="str"/>
      <x:c r="D24" s="15" t="str"/>
      <x:c r="E24" s="15" t="str"/>
      <x:c r="F24" s="15" t="str"/>
      <x:c r="G24" s="15" t="str"/>
      <x:c r="H24" s="15" t="str"/>
    </x:row>
    <x:row r="25">
      <x:c r="A25" s="15" t="str"/>
      <x:c r="B25" s="15" t="str"/>
      <x:c r="C25" s="15" t="str"/>
      <x:c r="D25" s="15" t="str"/>
      <x:c r="E25" s="15" t="str"/>
      <x:c r="F25" s="15" t="str"/>
      <x:c r="G25" s="15" t="str"/>
      <x:c r="H25" s="15" t="str"/>
    </x:row>
    <x:row r="26">
      <x:c r="A26" s="15" t="str"/>
      <x:c r="B26" s="15" t="str"/>
      <x:c r="C26" s="15" t="str"/>
      <x:c r="D26" s="15" t="str"/>
      <x:c r="E26" s="15" t="str"/>
      <x:c r="F26" s="15" t="str"/>
      <x:c r="G26" s="15" t="str"/>
      <x:c r="H26" s="15" t="str"/>
    </x:row>
    <x:row r="27">
      <x:c r="A27" s="15" t="str"/>
      <x:c r="B27" s="15" t="str"/>
      <x:c r="C27" s="15" t="str"/>
      <x:c r="D27" s="15" t="str"/>
      <x:c r="E27" s="15" t="str"/>
      <x:c r="F27" s="15" t="str"/>
      <x:c r="G27" s="15" t="str"/>
      <x:c r="H27" s="15" t="str"/>
    </x:row>
    <x:row r="28">
      <x:c r="A28" s="15" t="str"/>
      <x:c r="B28" s="15" t="str"/>
      <x:c r="C28" s="15" t="str"/>
      <x:c r="D28" s="15" t="str"/>
      <x:c r="E28" s="15" t="str"/>
      <x:c r="F28" s="15" t="str"/>
      <x:c r="G28" s="15" t="str"/>
      <x:c r="H28" s="15" t="str"/>
    </x:row>
    <x:row r="29">
      <x:c r="A29" s="15" t="str"/>
      <x:c r="B29" s="15" t="str"/>
      <x:c r="C29" s="15" t="str"/>
      <x:c r="D29" s="15" t="str"/>
      <x:c r="E29" s="15" t="str"/>
      <x:c r="F29" s="15" t="str"/>
      <x:c r="G29" s="15" t="str"/>
      <x:c r="H29" s="15" t="str"/>
    </x:row>
    <x:row r="30">
      <x:c r="A30" s="15" t="str"/>
      <x:c r="B30" s="15" t="str"/>
      <x:c r="C30" s="15" t="str"/>
      <x:c r="D30" s="15" t="str"/>
      <x:c r="E30" s="15" t="str"/>
      <x:c r="F30" s="15" t="str"/>
      <x:c r="G30" s="15" t="str"/>
      <x:c r="H30" s="15" t="str"/>
    </x:row>
    <x:row r="31">
      <x:c r="A31" s="15" t="str"/>
      <x:c r="B31" s="15" t="str"/>
      <x:c r="C31" s="15" t="str"/>
      <x:c r="D31" s="15" t="str"/>
      <x:c r="E31" s="15" t="str"/>
      <x:c r="F31" s="15" t="str"/>
      <x:c r="G31" s="15" t="str"/>
      <x:c r="H31" s="15" t="str"/>
    </x:row>
    <x:row r="32">
      <x:c r="A32" s="15" t="str"/>
      <x:c r="B32" s="15" t="str"/>
      <x:c r="C32" s="15" t="str"/>
      <x:c r="D32" s="15" t="str"/>
      <x:c r="E32" s="15" t="str"/>
      <x:c r="F32" s="15" t="str"/>
      <x:c r="G32" s="15" t="str"/>
      <x:c r="H32" s="15" t="str"/>
    </x:row>
    <x:row r="33">
      <x:c r="A33" s="15" t="str"/>
      <x:c r="B33" s="15" t="str"/>
      <x:c r="C33" s="15" t="str"/>
      <x:c r="D33" s="15" t="str"/>
      <x:c r="E33" s="15" t="str"/>
      <x:c r="F33" s="15" t="str"/>
      <x:c r="G33" s="15" t="str"/>
      <x:c r="H33" s="15" t="str"/>
    </x:row>
    <x:row r="34">
      <x:c r="A34" s="15" t="str"/>
      <x:c r="B34" s="15" t="str"/>
      <x:c r="C34" s="15" t="str"/>
      <x:c r="D34" s="15" t="str"/>
      <x:c r="E34" s="15" t="str"/>
      <x:c r="F34" s="15" t="str"/>
      <x:c r="G34" s="15" t="str"/>
      <x:c r="H34" s="15" t="str"/>
    </x:row>
    <x:row r="35">
      <x:c r="A35" s="15" t="str"/>
      <x:c r="B35" s="15" t="str"/>
      <x:c r="C35" s="15" t="str"/>
      <x:c r="D35" s="15" t="str"/>
      <x:c r="E35" s="15" t="str"/>
      <x:c r="F35" s="15" t="str"/>
      <x:c r="G35" s="15" t="str"/>
      <x:c r="H35" s="15" t="str"/>
    </x:row>
    <x:row r="36">
      <x:c r="A36" s="15" t="str"/>
      <x:c r="B36" s="15" t="str"/>
      <x:c r="C36" s="15" t="str"/>
      <x:c r="D36" s="15" t="str"/>
      <x:c r="E36" s="15" t="str"/>
      <x:c r="F36" s="15" t="str"/>
      <x:c r="G36" s="15" t="str"/>
      <x:c r="H36" s="15" t="str"/>
    </x:row>
    <x:row r="37">
      <x:c r="A37" s="15" t="str"/>
      <x:c r="B37" s="15" t="str"/>
      <x:c r="C37" s="15" t="str"/>
      <x:c r="D37" s="15" t="str"/>
      <x:c r="E37" s="15" t="str"/>
      <x:c r="F37" s="15" t="str"/>
      <x:c r="G37" s="15" t="str"/>
      <x:c r="H37" s="15" t="str"/>
    </x:row>
    <x:row r="38">
      <x:c r="A38" s="15" t="str"/>
      <x:c r="B38" s="15" t="str"/>
      <x:c r="C38" s="15" t="str"/>
      <x:c r="D38" s="15" t="str"/>
      <x:c r="E38" s="15" t="str"/>
      <x:c r="F38" s="15" t="str"/>
      <x:c r="G38" s="15" t="str"/>
      <x:c r="H38" s="15" t="str"/>
    </x:row>
    <x:row r="39">
      <x:c r="A39" s="15" t="str"/>
      <x:c r="B39" s="15" t="str"/>
      <x:c r="C39" s="15" t="str"/>
      <x:c r="D39" s="15" t="str"/>
      <x:c r="E39" s="15" t="str"/>
      <x:c r="F39" s="15" t="str"/>
      <x:c r="G39" s="15" t="str"/>
      <x:c r="H39" s="15" t="str"/>
    </x:row>
    <x:row r="40">
      <x:c r="A40" s="15" t="str"/>
      <x:c r="B40" s="15" t="str"/>
      <x:c r="C40" s="15" t="str"/>
      <x:c r="D40" s="15" t="str"/>
      <x:c r="E40" s="15" t="str"/>
      <x:c r="F40" s="15" t="str"/>
      <x:c r="G40" s="15" t="str"/>
      <x:c r="H40" s="15" t="str"/>
    </x:row>
    <x:row r="41">
      <x:c r="A41" s="15" t="str"/>
      <x:c r="B41" s="15" t="str"/>
      <x:c r="C41" s="15" t="str"/>
      <x:c r="D41" s="15" t="str"/>
      <x:c r="E41" s="15" t="str"/>
      <x:c r="F41" s="15" t="str"/>
      <x:c r="G41" s="15" t="str"/>
      <x:c r="H41" s="15" t="str"/>
    </x:row>
    <x:row r="42">
      <x:c r="A42" s="15" t="str"/>
      <x:c r="B42" s="15" t="str"/>
      <x:c r="C42" s="15" t="str"/>
      <x:c r="D42" s="15" t="str"/>
      <x:c r="E42" s="15" t="str"/>
      <x:c r="F42" s="15" t="str"/>
      <x:c r="G42" s="15" t="str"/>
      <x:c r="H42" s="15" t="str"/>
    </x:row>
    <x:row r="43">
      <x:c r="A43" s="15" t="str"/>
      <x:c r="B43" s="15" t="str"/>
      <x:c r="C43" s="15" t="str"/>
      <x:c r="D43" s="15" t="str"/>
      <x:c r="E43" s="15" t="str"/>
      <x:c r="F43" s="15" t="str"/>
      <x:c r="G43" s="15" t="str"/>
      <x:c r="H43" s="15" t="str"/>
    </x:row>
    <x:row r="44">
      <x:c r="A44" s="15" t="str"/>
      <x:c r="B44" s="15" t="str"/>
      <x:c r="C44" s="15" t="str"/>
      <x:c r="D44" s="15" t="str"/>
      <x:c r="E44" s="15" t="str"/>
      <x:c r="F44" s="15" t="str"/>
      <x:c r="G44" s="15" t="str"/>
      <x:c r="H44" s="15" t="str"/>
    </x:row>
    <x:row r="45">
      <x:c r="A45" s="15" t="str"/>
      <x:c r="B45" s="15" t="str"/>
      <x:c r="C45" s="15" t="str"/>
      <x:c r="D45" s="15" t="str"/>
      <x:c r="E45" s="15" t="str"/>
      <x:c r="F45" s="15" t="str"/>
      <x:c r="G45" s="15" t="str"/>
      <x:c r="H45" s="15" t="str"/>
    </x:row>
    <x:row r="46">
      <x:c r="A46" s="15" t="str"/>
      <x:c r="B46" s="15" t="str"/>
      <x:c r="C46" s="15" t="str"/>
      <x:c r="D46" s="15" t="str"/>
      <x:c r="E46" s="15" t="str"/>
      <x:c r="F46" s="15" t="str"/>
      <x:c r="G46" s="15" t="str"/>
      <x:c r="H46" s="15" t="str"/>
    </x:row>
    <x:row r="47">
      <x:c r="A47" s="15" t="str"/>
      <x:c r="B47" s="15" t="str"/>
      <x:c r="C47" s="15" t="str"/>
      <x:c r="D47" s="15" t="str"/>
      <x:c r="E47" s="15" t="str"/>
      <x:c r="F47" s="15" t="str"/>
      <x:c r="G47" s="15" t="str"/>
      <x:c r="H47" s="15" t="str"/>
    </x:row>
    <x:row r="48">
      <x:c r="A48" s="15" t="str"/>
      <x:c r="B48" s="15" t="str"/>
      <x:c r="C48" s="15" t="str"/>
      <x:c r="D48" s="15" t="str"/>
      <x:c r="E48" s="15" t="str"/>
      <x:c r="F48" s="15" t="str"/>
      <x:c r="G48" s="15" t="str"/>
      <x:c r="H48" s="15" t="str"/>
    </x:row>
    <x:row r="49">
      <x:c r="A49" s="15" t="str"/>
      <x:c r="B49" s="15" t="str"/>
      <x:c r="C49" s="15" t="str"/>
      <x:c r="D49" s="15" t="str"/>
      <x:c r="E49" s="15" t="str"/>
      <x:c r="F49" s="15" t="str"/>
      <x:c r="G49" s="15" t="str"/>
      <x:c r="H49" s="15" t="str"/>
    </x:row>
    <x:row r="50">
      <x:c r="A50" s="15" t="str"/>
      <x:c r="B50" s="15" t="str"/>
      <x:c r="C50" s="15" t="str"/>
      <x:c r="D50" s="15" t="str"/>
      <x:c r="E50" s="15" t="str"/>
      <x:c r="F50" s="15" t="str"/>
      <x:c r="G50" s="15" t="str"/>
      <x:c r="H50" s="15" t="str"/>
    </x:row>
    <x:row r="51">
      <x:c r="A51" s="15" t="str"/>
      <x:c r="B51" s="15" t="str"/>
      <x:c r="C51" s="15" t="str"/>
      <x:c r="D51" s="15" t="str"/>
      <x:c r="E51" s="15" t="str"/>
      <x:c r="F51" s="15" t="str"/>
      <x:c r="G51" s="15" t="str"/>
      <x:c r="H51" s="15" t="str"/>
    </x:row>
    <x:row r="52">
      <x:c r="A52" s="15" t="str"/>
      <x:c r="B52" s="15" t="str"/>
      <x:c r="C52" s="15" t="str"/>
      <x:c r="D52" s="15" t="str"/>
      <x:c r="E52" s="15" t="str"/>
      <x:c r="F52" s="15" t="str"/>
      <x:c r="G52" s="15" t="str"/>
      <x:c r="H52" s="15" t="str"/>
    </x:row>
    <x:row r="53">
      <x:c r="A53" s="15" t="str"/>
      <x:c r="B53" s="15" t="str"/>
      <x:c r="C53" s="15" t="str"/>
      <x:c r="D53" s="15" t="str"/>
      <x:c r="E53" s="15" t="str"/>
      <x:c r="F53" s="15" t="str"/>
      <x:c r="G53" s="15" t="str"/>
      <x:c r="H53" s="15" t="str"/>
    </x:row>
    <x:row r="54">
      <x:c r="A54" s="15" t="str"/>
      <x:c r="B54" s="15" t="str"/>
      <x:c r="C54" s="15" t="str"/>
      <x:c r="D54" s="15" t="str"/>
      <x:c r="E54" s="15" t="str"/>
      <x:c r="F54" s="15" t="str"/>
      <x:c r="G54" s="15" t="str"/>
      <x:c r="H54" s="15" t="str"/>
    </x:row>
  </x:sheetData>
  <x:mergeCells>
    <x:mergeCell ref="A1:H1"/>
    <x:mergeCell ref="A2:H2"/>
  </x:mergeCells>
  <x:conditionalFormatting sqref="E5:E54">
    <x:cfRule type="containsText" dxfId="99" priority="1" operator="containsText" text="Complete"/>
    <x:cfRule type="containsText" dxfId="100" priority="2" operator="containsText" text="Blocked"/>
    <x:cfRule type="containsText" dxfId="101" priority="3" operator="containsText" text="At Risk"/>
    <x:cfRule type="containsText" dxfId="102" priority="4" operator="containsText" text="In Progress"/>
  </x:conditionalFormatting>
  <x:dataValidations count="2">
    <x:dataValidation type="list" sqref="E5:E54">
      <x:formula1>'Assumptions'!$U$27:$U$34</x:formula1>
    </x:dataValidation>
    <x:dataValidation type="list" sqref="F5:F54">
      <x:formula1>'Assumptions'!$Q$27:$Q$34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9923e8f5ed42fa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0" hidden="0" customWidth="1"/>
    <x:col min="9" max="9" width="14" hidden="0" customWidth="1"/>
    <x:col min="10" max="10" width="10" hidden="0" customWidth="1"/>
    <x:col min="11" max="11" width="36" hidden="0" customWidth="1"/>
  </x:cols>
  <x:sheetData>
    <x:row r="1" ht="30" customHeight="1">
      <x:c r="A1" s="38" t="str">
        <x:v>Integration Updates</x:v>
      </x:c>
      <x:c r="B1" s="38" t="str">
        <x:v>Integration Updates</x:v>
      </x:c>
      <x:c r="C1" s="38" t="str">
        <x:v>Integration Updates</x:v>
      </x:c>
      <x:c r="D1" s="38" t="str">
        <x:v>Integration Updates</x:v>
      </x:c>
      <x:c r="E1" s="38" t="str">
        <x:v>Integration Updates</x:v>
      </x:c>
      <x:c r="F1" s="38" t="str">
        <x:v>Integration Updates</x:v>
      </x:c>
      <x:c r="G1" s="38" t="str">
        <x:v>Integration Updates</x:v>
      </x:c>
      <x:c r="H1" s="38" t="str">
        <x:v>Integration Updates</x:v>
      </x:c>
      <x:c r="I1" s="38" t="str">
        <x:v>Integration Updates</x:v>
      </x:c>
      <x:c r="J1" s="38" t="str">
        <x:v>Integration Updates</x:v>
      </x:c>
      <x:c r="K1" s="38" t="str">
        <x:v>Integration Updates</x:v>
      </x:c>
    </x:row>
    <x:row r="2" ht="34" customHeight="1">
      <x:c r="A2" s="39" t="str">
        <x:v>Track integration-specific change asks, validations, owners, tickets, and status changes.</x:v>
      </x:c>
      <x:c r="B2" s="39" t="str">
        <x:v>Track integration-specific change asks, validations, owners, tickets, and status changes.</x:v>
      </x:c>
      <x:c r="C2" s="39" t="str">
        <x:v>Track integration-specific change asks, validations, owners, tickets, and status changes.</x:v>
      </x:c>
      <x:c r="D2" s="39" t="str">
        <x:v>Track integration-specific change asks, validations, owners, tickets, and status changes.</x:v>
      </x:c>
      <x:c r="E2" s="39" t="str">
        <x:v>Track integration-specific change asks, validations, owners, tickets, and status changes.</x:v>
      </x:c>
      <x:c r="F2" s="39" t="str">
        <x:v>Track integration-specific change asks, validations, owners, tickets, and status changes.</x:v>
      </x:c>
      <x:c r="G2" s="39" t="str">
        <x:v>Track integration-specific change asks, validations, owners, tickets, and status changes.</x:v>
      </x:c>
      <x:c r="H2" s="39" t="str">
        <x:v>Track integration-specific change asks, validations, owners, tickets, and status changes.</x:v>
      </x:c>
      <x:c r="I2" s="39" t="str">
        <x:v>Track integration-specific change asks, validations, owners, tickets, and status changes.</x:v>
      </x:c>
      <x:c r="J2" s="39" t="str">
        <x:v>Track integration-specific change asks, validations, owners, tickets, and status changes.</x:v>
      </x:c>
      <x:c r="K2" s="39" t="str">
        <x:v>Track integration-specific change asks, validations, owners, tickets, and status changes.</x:v>
      </x:c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</x:row>
    <x:row r="4" ht="34" customHeight="1">
      <x:c r="A4" s="44" t="str">
        <x:v>Integration</x:v>
      </x:c>
      <x:c r="B4" s="44" t="str">
        <x:v>Requested Change</x:v>
      </x:c>
      <x:c r="C4" s="44" t="str">
        <x:v>Type</x:v>
      </x:c>
      <x:c r="D4" s="44" t="str">
        <x:v>Area</x:v>
      </x:c>
      <x:c r="E4" s="44" t="str">
        <x:v>Environment</x:v>
      </x:c>
      <x:c r="F4" s="44" t="str">
        <x:v>Status</x:v>
      </x:c>
      <x:c r="G4" s="44" t="str">
        <x:v>Who</x:v>
      </x:c>
      <x:c r="H4" s="44" t="str">
        <x:v>Jira Ticket</x:v>
      </x:c>
      <x:c r="I4" s="44" t="str">
        <x:v>Sprint</x:v>
      </x:c>
      <x:c r="J4" s="44" t="str">
        <x:v>R/Y/G</x:v>
      </x:c>
      <x:c r="K4" s="44" t="str">
        <x:v>Notes</x:v>
      </x:c>
    </x:row>
    <x:row r="5">
      <x:c r="A5" s="15" t="str"/>
      <x:c r="B5" s="15" t="str"/>
      <x:c r="C5" s="15" t="str"/>
      <x:c r="D5" s="15" t="str"/>
      <x:c r="E5" s="15" t="str"/>
      <x:c r="F5" s="15" t="str"/>
      <x:c r="G5" s="15" t="str"/>
      <x:c r="H5" s="15" t="str"/>
      <x:c r="I5" s="15" t="str"/>
      <x:c r="J5" s="15" t="str"/>
      <x:c r="K5" s="15" t="str"/>
    </x:row>
    <x:row r="6">
      <x:c r="A6" s="15" t="str"/>
      <x:c r="B6" s="15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</x:row>
    <x:row r="7">
      <x:c r="A7" s="15" t="str"/>
      <x:c r="B7" s="15" t="str"/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  <x:c r="K7" s="15" t="str"/>
    </x:row>
    <x:row r="8">
      <x:c r="A8" s="15" t="str"/>
      <x:c r="B8" s="15" t="str"/>
      <x:c r="C8" s="15" t="str"/>
      <x:c r="D8" s="15" t="str"/>
      <x:c r="E8" s="15" t="str"/>
      <x:c r="F8" s="15" t="str"/>
      <x:c r="G8" s="15" t="str"/>
      <x:c r="H8" s="15" t="str"/>
      <x:c r="I8" s="15" t="str"/>
      <x:c r="J8" s="15" t="str"/>
      <x:c r="K8" s="15" t="str"/>
    </x:row>
    <x:row r="9">
      <x:c r="A9" s="15" t="str"/>
      <x:c r="B9" s="15" t="str"/>
      <x:c r="C9" s="15" t="str"/>
      <x:c r="D9" s="15" t="str"/>
      <x:c r="E9" s="15" t="str"/>
      <x:c r="F9" s="15" t="str"/>
      <x:c r="G9" s="15" t="str"/>
      <x:c r="H9" s="15" t="str"/>
      <x:c r="I9" s="15" t="str"/>
      <x:c r="J9" s="15" t="str"/>
      <x:c r="K9" s="15" t="str"/>
    </x:row>
    <x:row r="10">
      <x:c r="A10" s="15" t="str"/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</x:row>
    <x:row r="11">
      <x:c r="A11" s="15" t="str"/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</x:row>
    <x:row r="12">
      <x:c r="A12" s="15" t="str"/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</x:row>
    <x:row r="13">
      <x:c r="A13" s="15" t="str"/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</x:row>
    <x:row r="14">
      <x:c r="A14" s="15" t="str"/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</x:row>
    <x:row r="15">
      <x:c r="A15" s="15" t="str"/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</x:row>
    <x:row r="16">
      <x:c r="A16" s="15" t="str"/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</x:row>
    <x:row r="17">
      <x:c r="A17" s="15" t="str"/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</x:row>
    <x:row r="18">
      <x:c r="A18" s="15" t="str"/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</x:row>
    <x:row r="19">
      <x:c r="A19" s="15" t="str"/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</x:row>
    <x:row r="20">
      <x:c r="A20" s="15" t="str"/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</x:row>
    <x:row r="21">
      <x:c r="A21" s="15" t="str"/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</x:row>
    <x:row r="22">
      <x:c r="A22" s="15" t="str"/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</x:row>
    <x:row r="23">
      <x:c r="A23" s="15" t="str"/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</x:row>
    <x:row r="24">
      <x:c r="A24" s="15" t="str"/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</x:row>
    <x:row r="25">
      <x:c r="A25" s="15" t="str"/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5" t="str"/>
    </x:row>
    <x:row r="26">
      <x:c r="A26" s="15" t="str"/>
      <x:c r="B26" s="15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  <x:c r="K26" s="15" t="str"/>
    </x:row>
    <x:row r="27">
      <x:c r="A27" s="15" t="str"/>
      <x:c r="B27" s="15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15" t="str"/>
      <x:c r="K27" s="15" t="str"/>
    </x:row>
    <x:row r="28">
      <x:c r="A28" s="15" t="str"/>
      <x:c r="B28" s="15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15" t="str"/>
      <x:c r="K28" s="15" t="str"/>
    </x:row>
    <x:row r="29">
      <x:c r="A29" s="15" t="str"/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15" t="str"/>
      <x:c r="K29" s="15" t="str"/>
    </x:row>
    <x:row r="30">
      <x:c r="A30" s="15" t="str"/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15" t="str"/>
      <x:c r="K30" s="15" t="str"/>
    </x:row>
    <x:row r="31">
      <x:c r="A31" s="15" t="str"/>
      <x:c r="B31" s="15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15" t="str"/>
      <x:c r="K31" s="15" t="str"/>
    </x:row>
    <x:row r="32">
      <x:c r="A32" s="15" t="str"/>
      <x:c r="B32" s="15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15" t="str"/>
      <x:c r="K32" s="15" t="str"/>
    </x:row>
    <x:row r="33">
      <x:c r="A33" s="15" t="str"/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5" t="str"/>
    </x:row>
    <x:row r="34">
      <x:c r="A34" s="15" t="str"/>
      <x:c r="B34" s="15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15" t="str"/>
      <x:c r="K34" s="15" t="str"/>
    </x:row>
    <x:row r="35">
      <x:c r="A35" s="15" t="str"/>
      <x:c r="B35" s="15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15" t="str"/>
      <x:c r="K35" s="15" t="str"/>
    </x:row>
    <x:row r="36">
      <x:c r="A36" s="15" t="str"/>
      <x:c r="B36" s="15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15" t="str"/>
      <x:c r="K36" s="15" t="str"/>
    </x:row>
    <x:row r="37">
      <x:c r="A37" s="15" t="str"/>
      <x:c r="B37" s="15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15" t="str"/>
      <x:c r="K37" s="15" t="str"/>
    </x:row>
    <x:row r="38">
      <x:c r="A38" s="15" t="str"/>
      <x:c r="B38" s="15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15" t="str"/>
      <x:c r="K38" s="15" t="str"/>
    </x:row>
    <x:row r="39">
      <x:c r="A39" s="15" t="str"/>
      <x:c r="B39" s="15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15" t="str"/>
      <x:c r="K39" s="15" t="str"/>
    </x:row>
    <x:row r="40">
      <x:c r="A40" s="15" t="str"/>
      <x:c r="B40" s="15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15" t="str"/>
      <x:c r="K40" s="15" t="str"/>
    </x:row>
    <x:row r="41">
      <x:c r="A41" s="15" t="str"/>
      <x:c r="B41" s="15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15" t="str"/>
      <x:c r="K41" s="15" t="str"/>
    </x:row>
    <x:row r="42">
      <x:c r="A42" s="15" t="str"/>
      <x:c r="B42" s="15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15" t="str"/>
      <x:c r="K42" s="15" t="str"/>
    </x:row>
    <x:row r="43">
      <x:c r="A43" s="15" t="str"/>
      <x:c r="B43" s="15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15" t="str"/>
      <x:c r="K43" s="15" t="str"/>
    </x:row>
    <x:row r="44">
      <x:c r="A44" s="15" t="str"/>
      <x:c r="B44" s="15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15" t="str"/>
      <x:c r="K44" s="15" t="str"/>
    </x:row>
    <x:row r="45">
      <x:c r="A45" s="15" t="str"/>
      <x:c r="B45" s="15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15" t="str"/>
      <x:c r="K45" s="15" t="str"/>
    </x:row>
    <x:row r="46">
      <x:c r="A46" s="15" t="str"/>
      <x:c r="B46" s="15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15" t="str"/>
      <x:c r="K46" s="15" t="str"/>
    </x:row>
    <x:row r="47">
      <x:c r="A47" s="15" t="str"/>
      <x:c r="B47" s="15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15" t="str"/>
      <x:c r="K47" s="15" t="str"/>
    </x:row>
    <x:row r="48">
      <x:c r="A48" s="15" t="str"/>
      <x:c r="B48" s="15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15" t="str"/>
      <x:c r="K48" s="15" t="str"/>
    </x:row>
    <x:row r="49">
      <x:c r="A49" s="15" t="str"/>
      <x:c r="B49" s="15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15" t="str"/>
      <x:c r="K49" s="15" t="str"/>
    </x:row>
    <x:row r="50">
      <x:c r="A50" s="15" t="str"/>
      <x:c r="B50" s="15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15" t="str"/>
      <x:c r="K50" s="15" t="str"/>
    </x:row>
    <x:row r="51">
      <x:c r="A51" s="15" t="str"/>
      <x:c r="B51" s="15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15" t="str"/>
      <x:c r="K51" s="15" t="str"/>
    </x:row>
    <x:row r="52">
      <x:c r="A52" s="15" t="str"/>
      <x:c r="B52" s="15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15" t="str"/>
      <x:c r="K52" s="15" t="str"/>
    </x:row>
    <x:row r="53">
      <x:c r="A53" s="15" t="str"/>
      <x:c r="B53" s="15" t="str"/>
      <x:c r="C53" s="15" t="str"/>
      <x:c r="D53" s="15" t="str"/>
      <x:c r="E53" s="15" t="str"/>
      <x:c r="F53" s="15" t="str"/>
      <x:c r="G53" s="15" t="str"/>
      <x:c r="H53" s="15" t="str"/>
      <x:c r="I53" s="15" t="str"/>
      <x:c r="J53" s="15" t="str"/>
      <x:c r="K53" s="15" t="str"/>
    </x:row>
    <x:row r="54">
      <x:c r="A54" s="15" t="str"/>
      <x:c r="B54" s="15" t="str"/>
      <x:c r="C54" s="15" t="str"/>
      <x:c r="D54" s="15" t="str"/>
      <x:c r="E54" s="15" t="str"/>
      <x:c r="F54" s="15" t="str"/>
      <x:c r="G54" s="15" t="str"/>
      <x:c r="H54" s="15" t="str"/>
      <x:c r="I54" s="15" t="str"/>
      <x:c r="J54" s="15" t="str"/>
      <x:c r="K54" s="15" t="str"/>
    </x:row>
    <x:row r="55">
      <x:c r="A55" s="15" t="str"/>
      <x:c r="B55" s="15" t="str"/>
      <x:c r="C55" s="15" t="str"/>
      <x:c r="D55" s="15" t="str"/>
      <x:c r="E55" s="15" t="str"/>
      <x:c r="F55" s="15" t="str"/>
      <x:c r="G55" s="15" t="str"/>
      <x:c r="H55" s="15" t="str"/>
      <x:c r="I55" s="15" t="str"/>
      <x:c r="J55" s="15" t="str"/>
      <x:c r="K55" s="15" t="str"/>
    </x:row>
    <x:row r="56">
      <x:c r="A56" s="15" t="str"/>
      <x:c r="B56" s="15" t="str"/>
      <x:c r="C56" s="15" t="str"/>
      <x:c r="D56" s="15" t="str"/>
      <x:c r="E56" s="15" t="str"/>
      <x:c r="F56" s="15" t="str"/>
      <x:c r="G56" s="15" t="str"/>
      <x:c r="H56" s="15" t="str"/>
      <x:c r="I56" s="15" t="str"/>
      <x:c r="J56" s="15" t="str"/>
      <x:c r="K56" s="15" t="str"/>
    </x:row>
    <x:row r="57">
      <x:c r="A57" s="15" t="str"/>
      <x:c r="B57" s="15" t="str"/>
      <x:c r="C57" s="15" t="str"/>
      <x:c r="D57" s="15" t="str"/>
      <x:c r="E57" s="15" t="str"/>
      <x:c r="F57" s="15" t="str"/>
      <x:c r="G57" s="15" t="str"/>
      <x:c r="H57" s="15" t="str"/>
      <x:c r="I57" s="15" t="str"/>
      <x:c r="J57" s="15" t="str"/>
      <x:c r="K57" s="15" t="str"/>
    </x:row>
    <x:row r="58">
      <x:c r="A58" s="15" t="str"/>
      <x:c r="B58" s="15" t="str"/>
      <x:c r="C58" s="15" t="str"/>
      <x:c r="D58" s="15" t="str"/>
      <x:c r="E58" s="15" t="str"/>
      <x:c r="F58" s="15" t="str"/>
      <x:c r="G58" s="15" t="str"/>
      <x:c r="H58" s="15" t="str"/>
      <x:c r="I58" s="15" t="str"/>
      <x:c r="J58" s="15" t="str"/>
      <x:c r="K58" s="15" t="str"/>
    </x:row>
    <x:row r="59">
      <x:c r="A59" s="15" t="str"/>
      <x:c r="B59" s="15" t="str"/>
      <x:c r="C59" s="15" t="str"/>
      <x:c r="D59" s="15" t="str"/>
      <x:c r="E59" s="15" t="str"/>
      <x:c r="F59" s="15" t="str"/>
      <x:c r="G59" s="15" t="str"/>
      <x:c r="H59" s="15" t="str"/>
      <x:c r="I59" s="15" t="str"/>
      <x:c r="J59" s="15" t="str"/>
      <x:c r="K59" s="15" t="str"/>
    </x:row>
    <x:row r="60">
      <x:c r="A60" s="15" t="str"/>
      <x:c r="B60" s="15" t="str"/>
      <x:c r="C60" s="15" t="str"/>
      <x:c r="D60" s="15" t="str"/>
      <x:c r="E60" s="15" t="str"/>
      <x:c r="F60" s="15" t="str"/>
      <x:c r="G60" s="15" t="str"/>
      <x:c r="H60" s="15" t="str"/>
      <x:c r="I60" s="15" t="str"/>
      <x:c r="J60" s="15" t="str"/>
      <x:c r="K60" s="15" t="str"/>
    </x:row>
    <x:row r="61">
      <x:c r="A61" s="15" t="str"/>
      <x:c r="B61" s="15" t="str"/>
      <x:c r="C61" s="15" t="str"/>
      <x:c r="D61" s="15" t="str"/>
      <x:c r="E61" s="15" t="str"/>
      <x:c r="F61" s="15" t="str"/>
      <x:c r="G61" s="15" t="str"/>
      <x:c r="H61" s="15" t="str"/>
      <x:c r="I61" s="15" t="str"/>
      <x:c r="J61" s="15" t="str"/>
      <x:c r="K61" s="15" t="str"/>
    </x:row>
    <x:row r="62">
      <x:c r="A62" s="15" t="str"/>
      <x:c r="B62" s="15" t="str"/>
      <x:c r="C62" s="15" t="str"/>
      <x:c r="D62" s="15" t="str"/>
      <x:c r="E62" s="15" t="str"/>
      <x:c r="F62" s="15" t="str"/>
      <x:c r="G62" s="15" t="str"/>
      <x:c r="H62" s="15" t="str"/>
      <x:c r="I62" s="15" t="str"/>
      <x:c r="J62" s="15" t="str"/>
      <x:c r="K62" s="15" t="str"/>
    </x:row>
    <x:row r="63">
      <x:c r="A63" s="15" t="str"/>
      <x:c r="B63" s="15" t="str"/>
      <x:c r="C63" s="15" t="str"/>
      <x:c r="D63" s="15" t="str"/>
      <x:c r="E63" s="15" t="str"/>
      <x:c r="F63" s="15" t="str"/>
      <x:c r="G63" s="15" t="str"/>
      <x:c r="H63" s="15" t="str"/>
      <x:c r="I63" s="15" t="str"/>
      <x:c r="J63" s="15" t="str"/>
      <x:c r="K63" s="15" t="str"/>
    </x:row>
    <x:row r="64">
      <x:c r="A64" s="15" t="str"/>
      <x:c r="B64" s="15" t="str"/>
      <x:c r="C64" s="15" t="str"/>
      <x:c r="D64" s="15" t="str"/>
      <x:c r="E64" s="15" t="str"/>
      <x:c r="F64" s="15" t="str"/>
      <x:c r="G64" s="15" t="str"/>
      <x:c r="H64" s="15" t="str"/>
      <x:c r="I64" s="15" t="str"/>
      <x:c r="J64" s="15" t="str"/>
      <x:c r="K64" s="15" t="str"/>
    </x:row>
    <x:row r="65">
      <x:c r="A65" s="15" t="str"/>
      <x:c r="B65" s="15" t="str"/>
      <x:c r="C65" s="15" t="str"/>
      <x:c r="D65" s="15" t="str"/>
      <x:c r="E65" s="15" t="str"/>
      <x:c r="F65" s="15" t="str"/>
      <x:c r="G65" s="15" t="str"/>
      <x:c r="H65" s="15" t="str"/>
      <x:c r="I65" s="15" t="str"/>
      <x:c r="J65" s="15" t="str"/>
      <x:c r="K65" s="15" t="str"/>
    </x:row>
    <x:row r="66">
      <x:c r="A66" s="15" t="str"/>
      <x:c r="B66" s="15" t="str"/>
      <x:c r="C66" s="15" t="str"/>
      <x:c r="D66" s="15" t="str"/>
      <x:c r="E66" s="15" t="str"/>
      <x:c r="F66" s="15" t="str"/>
      <x:c r="G66" s="15" t="str"/>
      <x:c r="H66" s="15" t="str"/>
      <x:c r="I66" s="15" t="str"/>
      <x:c r="J66" s="15" t="str"/>
      <x:c r="K66" s="15" t="str"/>
    </x:row>
    <x:row r="67">
      <x:c r="A67" s="15" t="str"/>
      <x:c r="B67" s="15" t="str"/>
      <x:c r="C67" s="15" t="str"/>
      <x:c r="D67" s="15" t="str"/>
      <x:c r="E67" s="15" t="str"/>
      <x:c r="F67" s="15" t="str"/>
      <x:c r="G67" s="15" t="str"/>
      <x:c r="H67" s="15" t="str"/>
      <x:c r="I67" s="15" t="str"/>
      <x:c r="J67" s="15" t="str"/>
      <x:c r="K67" s="15" t="str"/>
    </x:row>
    <x:row r="68">
      <x:c r="A68" s="15" t="str"/>
      <x:c r="B68" s="15" t="str"/>
      <x:c r="C68" s="15" t="str"/>
      <x:c r="D68" s="15" t="str"/>
      <x:c r="E68" s="15" t="str"/>
      <x:c r="F68" s="15" t="str"/>
      <x:c r="G68" s="15" t="str"/>
      <x:c r="H68" s="15" t="str"/>
      <x:c r="I68" s="15" t="str"/>
      <x:c r="J68" s="15" t="str"/>
      <x:c r="K68" s="15" t="str"/>
    </x:row>
    <x:row r="69">
      <x:c r="A69" s="15" t="str"/>
      <x:c r="B69" s="15" t="str"/>
      <x:c r="C69" s="15" t="str"/>
      <x:c r="D69" s="15" t="str"/>
      <x:c r="E69" s="15" t="str"/>
      <x:c r="F69" s="15" t="str"/>
      <x:c r="G69" s="15" t="str"/>
      <x:c r="H69" s="15" t="str"/>
      <x:c r="I69" s="15" t="str"/>
      <x:c r="J69" s="15" t="str"/>
      <x:c r="K69" s="15" t="str"/>
    </x:row>
    <x:row r="70">
      <x:c r="A70" s="15" t="str"/>
      <x:c r="B70" s="15" t="str"/>
      <x:c r="C70" s="15" t="str"/>
      <x:c r="D70" s="15" t="str"/>
      <x:c r="E70" s="15" t="str"/>
      <x:c r="F70" s="15" t="str"/>
      <x:c r="G70" s="15" t="str"/>
      <x:c r="H70" s="15" t="str"/>
      <x:c r="I70" s="15" t="str"/>
      <x:c r="J70" s="15" t="str"/>
      <x:c r="K70" s="15" t="str"/>
    </x:row>
    <x:row r="71">
      <x:c r="A71" s="15" t="str"/>
      <x:c r="B71" s="15" t="str"/>
      <x:c r="C71" s="15" t="str"/>
      <x:c r="D71" s="15" t="str"/>
      <x:c r="E71" s="15" t="str"/>
      <x:c r="F71" s="15" t="str"/>
      <x:c r="G71" s="15" t="str"/>
      <x:c r="H71" s="15" t="str"/>
      <x:c r="I71" s="15" t="str"/>
      <x:c r="J71" s="15" t="str"/>
      <x:c r="K71" s="15" t="str"/>
    </x:row>
    <x:row r="72">
      <x:c r="A72" s="15" t="str"/>
      <x:c r="B72" s="15" t="str"/>
      <x:c r="C72" s="15" t="str"/>
      <x:c r="D72" s="15" t="str"/>
      <x:c r="E72" s="15" t="str"/>
      <x:c r="F72" s="15" t="str"/>
      <x:c r="G72" s="15" t="str"/>
      <x:c r="H72" s="15" t="str"/>
      <x:c r="I72" s="15" t="str"/>
      <x:c r="J72" s="15" t="str"/>
      <x:c r="K72" s="15" t="str"/>
    </x:row>
    <x:row r="73">
      <x:c r="A73" s="15" t="str"/>
      <x:c r="B73" s="15" t="str"/>
      <x:c r="C73" s="15" t="str"/>
      <x:c r="D73" s="15" t="str"/>
      <x:c r="E73" s="15" t="str"/>
      <x:c r="F73" s="15" t="str"/>
      <x:c r="G73" s="15" t="str"/>
      <x:c r="H73" s="15" t="str"/>
      <x:c r="I73" s="15" t="str"/>
      <x:c r="J73" s="15" t="str"/>
      <x:c r="K73" s="15" t="str"/>
    </x:row>
    <x:row r="74">
      <x:c r="A74" s="15" t="str"/>
      <x:c r="B74" s="15" t="str"/>
      <x:c r="C74" s="15" t="str"/>
      <x:c r="D74" s="15" t="str"/>
      <x:c r="E74" s="15" t="str"/>
      <x:c r="F74" s="15" t="str"/>
      <x:c r="G74" s="15" t="str"/>
      <x:c r="H74" s="15" t="str"/>
      <x:c r="I74" s="15" t="str"/>
      <x:c r="J74" s="15" t="str"/>
      <x:c r="K74" s="15" t="str"/>
    </x:row>
    <x:row r="75">
      <x:c r="A75" s="15" t="str"/>
      <x:c r="B75" s="15" t="str"/>
      <x:c r="C75" s="15" t="str"/>
      <x:c r="D75" s="15" t="str"/>
      <x:c r="E75" s="15" t="str"/>
      <x:c r="F75" s="15" t="str"/>
      <x:c r="G75" s="15" t="str"/>
      <x:c r="H75" s="15" t="str"/>
      <x:c r="I75" s="15" t="str"/>
      <x:c r="J75" s="15" t="str"/>
      <x:c r="K75" s="15" t="str"/>
    </x:row>
    <x:row r="76">
      <x:c r="A76" s="15" t="str"/>
      <x:c r="B76" s="15" t="str"/>
      <x:c r="C76" s="15" t="str"/>
      <x:c r="D76" s="15" t="str"/>
      <x:c r="E76" s="15" t="str"/>
      <x:c r="F76" s="15" t="str"/>
      <x:c r="G76" s="15" t="str"/>
      <x:c r="H76" s="15" t="str"/>
      <x:c r="I76" s="15" t="str"/>
      <x:c r="J76" s="15" t="str"/>
      <x:c r="K76" s="15" t="str"/>
    </x:row>
    <x:row r="77">
      <x:c r="A77" s="15" t="str"/>
      <x:c r="B77" s="15" t="str"/>
      <x:c r="C77" s="15" t="str"/>
      <x:c r="D77" s="15" t="str"/>
      <x:c r="E77" s="15" t="str"/>
      <x:c r="F77" s="15" t="str"/>
      <x:c r="G77" s="15" t="str"/>
      <x:c r="H77" s="15" t="str"/>
      <x:c r="I77" s="15" t="str"/>
      <x:c r="J77" s="15" t="str"/>
      <x:c r="K77" s="15" t="str"/>
    </x:row>
    <x:row r="78">
      <x:c r="A78" s="15" t="str"/>
      <x:c r="B78" s="15" t="str"/>
      <x:c r="C78" s="15" t="str"/>
      <x:c r="D78" s="15" t="str"/>
      <x:c r="E78" s="15" t="str"/>
      <x:c r="F78" s="15" t="str"/>
      <x:c r="G78" s="15" t="str"/>
      <x:c r="H78" s="15" t="str"/>
      <x:c r="I78" s="15" t="str"/>
      <x:c r="J78" s="15" t="str"/>
      <x:c r="K78" s="15" t="str"/>
    </x:row>
    <x:row r="79">
      <x:c r="A79" s="15" t="str"/>
      <x:c r="B79" s="15" t="str"/>
      <x:c r="C79" s="15" t="str"/>
      <x:c r="D79" s="15" t="str"/>
      <x:c r="E79" s="15" t="str"/>
      <x:c r="F79" s="15" t="str"/>
      <x:c r="G79" s="15" t="str"/>
      <x:c r="H79" s="15" t="str"/>
      <x:c r="I79" s="15" t="str"/>
      <x:c r="J79" s="15" t="str"/>
      <x:c r="K79" s="15" t="str"/>
    </x:row>
    <x:row r="80">
      <x:c r="A80" s="15" t="str"/>
      <x:c r="B80" s="15" t="str"/>
      <x:c r="C80" s="15" t="str"/>
      <x:c r="D80" s="15" t="str"/>
      <x:c r="E80" s="15" t="str"/>
      <x:c r="F80" s="15" t="str"/>
      <x:c r="G80" s="15" t="str"/>
      <x:c r="H80" s="15" t="str"/>
      <x:c r="I80" s="15" t="str"/>
      <x:c r="J80" s="15" t="str"/>
      <x:c r="K80" s="15" t="str"/>
    </x:row>
    <x:row r="81">
      <x:c r="A81" s="15" t="str"/>
      <x:c r="B81" s="15" t="str"/>
      <x:c r="C81" s="15" t="str"/>
      <x:c r="D81" s="15" t="str"/>
      <x:c r="E81" s="15" t="str"/>
      <x:c r="F81" s="15" t="str"/>
      <x:c r="G81" s="15" t="str"/>
      <x:c r="H81" s="15" t="str"/>
      <x:c r="I81" s="15" t="str"/>
      <x:c r="J81" s="15" t="str"/>
      <x:c r="K81" s="15" t="str"/>
    </x:row>
    <x:row r="82">
      <x:c r="A82" s="15" t="str"/>
      <x:c r="B82" s="15" t="str"/>
      <x:c r="C82" s="15" t="str"/>
      <x:c r="D82" s="15" t="str"/>
      <x:c r="E82" s="15" t="str"/>
      <x:c r="F82" s="15" t="str"/>
      <x:c r="G82" s="15" t="str"/>
      <x:c r="H82" s="15" t="str"/>
      <x:c r="I82" s="15" t="str"/>
      <x:c r="J82" s="15" t="str"/>
      <x:c r="K82" s="15" t="str"/>
    </x:row>
    <x:row r="83">
      <x:c r="A83" s="15" t="str"/>
      <x:c r="B83" s="15" t="str"/>
      <x:c r="C83" s="15" t="str"/>
      <x:c r="D83" s="15" t="str"/>
      <x:c r="E83" s="15" t="str"/>
      <x:c r="F83" s="15" t="str"/>
      <x:c r="G83" s="15" t="str"/>
      <x:c r="H83" s="15" t="str"/>
      <x:c r="I83" s="15" t="str"/>
      <x:c r="J83" s="15" t="str"/>
      <x:c r="K83" s="15" t="str"/>
    </x:row>
    <x:row r="84">
      <x:c r="A84" s="15" t="str"/>
      <x:c r="B84" s="15" t="str"/>
      <x:c r="C84" s="15" t="str"/>
      <x:c r="D84" s="15" t="str"/>
      <x:c r="E84" s="15" t="str"/>
      <x:c r="F84" s="15" t="str"/>
      <x:c r="G84" s="15" t="str"/>
      <x:c r="H84" s="15" t="str"/>
      <x:c r="I84" s="15" t="str"/>
      <x:c r="J84" s="15" t="str"/>
      <x:c r="K84" s="15" t="str"/>
    </x:row>
    <x:row r="85">
      <x:c r="A85" s="15" t="str"/>
      <x:c r="B85" s="15" t="str"/>
      <x:c r="C85" s="15" t="str"/>
      <x:c r="D85" s="15" t="str"/>
      <x:c r="E85" s="15" t="str"/>
      <x:c r="F85" s="15" t="str"/>
      <x:c r="G85" s="15" t="str"/>
      <x:c r="H85" s="15" t="str"/>
      <x:c r="I85" s="15" t="str"/>
      <x:c r="J85" s="15" t="str"/>
      <x:c r="K85" s="15" t="str"/>
    </x:row>
    <x:row r="86">
      <x:c r="A86" s="15" t="str"/>
      <x:c r="B86" s="15" t="str"/>
      <x:c r="C86" s="15" t="str"/>
      <x:c r="D86" s="15" t="str"/>
      <x:c r="E86" s="15" t="str"/>
      <x:c r="F86" s="15" t="str"/>
      <x:c r="G86" s="15" t="str"/>
      <x:c r="H86" s="15" t="str"/>
      <x:c r="I86" s="15" t="str"/>
      <x:c r="J86" s="15" t="str"/>
      <x:c r="K86" s="15" t="str"/>
    </x:row>
    <x:row r="87">
      <x:c r="A87" s="15" t="str"/>
      <x:c r="B87" s="15" t="str"/>
      <x:c r="C87" s="15" t="str"/>
      <x:c r="D87" s="15" t="str"/>
      <x:c r="E87" s="15" t="str"/>
      <x:c r="F87" s="15" t="str"/>
      <x:c r="G87" s="15" t="str"/>
      <x:c r="H87" s="15" t="str"/>
      <x:c r="I87" s="15" t="str"/>
      <x:c r="J87" s="15" t="str"/>
      <x:c r="K87" s="15" t="str"/>
    </x:row>
    <x:row r="88">
      <x:c r="A88" s="15" t="str"/>
      <x:c r="B88" s="15" t="str"/>
      <x:c r="C88" s="15" t="str"/>
      <x:c r="D88" s="15" t="str"/>
      <x:c r="E88" s="15" t="str"/>
      <x:c r="F88" s="15" t="str"/>
      <x:c r="G88" s="15" t="str"/>
      <x:c r="H88" s="15" t="str"/>
      <x:c r="I88" s="15" t="str"/>
      <x:c r="J88" s="15" t="str"/>
      <x:c r="K88" s="15" t="str"/>
    </x:row>
    <x:row r="89">
      <x:c r="A89" s="15" t="str"/>
      <x:c r="B89" s="15" t="str"/>
      <x:c r="C89" s="15" t="str"/>
      <x:c r="D89" s="15" t="str"/>
      <x:c r="E89" s="15" t="str"/>
      <x:c r="F89" s="15" t="str"/>
      <x:c r="G89" s="15" t="str"/>
      <x:c r="H89" s="15" t="str"/>
      <x:c r="I89" s="15" t="str"/>
      <x:c r="J89" s="15" t="str"/>
      <x:c r="K89" s="15" t="str"/>
    </x:row>
    <x:row r="90">
      <x:c r="A90" s="15" t="str"/>
      <x:c r="B90" s="15" t="str"/>
      <x:c r="C90" s="15" t="str"/>
      <x:c r="D90" s="15" t="str"/>
      <x:c r="E90" s="15" t="str"/>
      <x:c r="F90" s="15" t="str"/>
      <x:c r="G90" s="15" t="str"/>
      <x:c r="H90" s="15" t="str"/>
      <x:c r="I90" s="15" t="str"/>
      <x:c r="J90" s="15" t="str"/>
      <x:c r="K90" s="15" t="str"/>
    </x:row>
    <x:row r="91">
      <x:c r="A91" s="15" t="str"/>
      <x:c r="B91" s="15" t="str"/>
      <x:c r="C91" s="15" t="str"/>
      <x:c r="D91" s="15" t="str"/>
      <x:c r="E91" s="15" t="str"/>
      <x:c r="F91" s="15" t="str"/>
      <x:c r="G91" s="15" t="str"/>
      <x:c r="H91" s="15" t="str"/>
      <x:c r="I91" s="15" t="str"/>
      <x:c r="J91" s="15" t="str"/>
      <x:c r="K91" s="15" t="str"/>
    </x:row>
    <x:row r="92">
      <x:c r="A92" s="15" t="str"/>
      <x:c r="B92" s="15" t="str"/>
      <x:c r="C92" s="15" t="str"/>
      <x:c r="D92" s="15" t="str"/>
      <x:c r="E92" s="15" t="str"/>
      <x:c r="F92" s="15" t="str"/>
      <x:c r="G92" s="15" t="str"/>
      <x:c r="H92" s="15" t="str"/>
      <x:c r="I92" s="15" t="str"/>
      <x:c r="J92" s="15" t="str"/>
      <x:c r="K92" s="15" t="str"/>
    </x:row>
    <x:row r="93">
      <x:c r="A93" s="15" t="str"/>
      <x:c r="B93" s="15" t="str"/>
      <x:c r="C93" s="15" t="str"/>
      <x:c r="D93" s="15" t="str"/>
      <x:c r="E93" s="15" t="str"/>
      <x:c r="F93" s="15" t="str"/>
      <x:c r="G93" s="15" t="str"/>
      <x:c r="H93" s="15" t="str"/>
      <x:c r="I93" s="15" t="str"/>
      <x:c r="J93" s="15" t="str"/>
      <x:c r="K93" s="15" t="str"/>
    </x:row>
    <x:row r="94">
      <x:c r="A94" s="15" t="str"/>
      <x:c r="B94" s="15" t="str"/>
      <x:c r="C94" s="15" t="str"/>
      <x:c r="D94" s="15" t="str"/>
      <x:c r="E94" s="15" t="str"/>
      <x:c r="F94" s="15" t="str"/>
      <x:c r="G94" s="15" t="str"/>
      <x:c r="H94" s="15" t="str"/>
      <x:c r="I94" s="15" t="str"/>
      <x:c r="J94" s="15" t="str"/>
      <x:c r="K94" s="15" t="str"/>
    </x:row>
    <x:row r="95">
      <x:c r="A95" s="15" t="str"/>
      <x:c r="B95" s="15" t="str"/>
      <x:c r="C95" s="15" t="str"/>
      <x:c r="D95" s="15" t="str"/>
      <x:c r="E95" s="15" t="str"/>
      <x:c r="F95" s="15" t="str"/>
      <x:c r="G95" s="15" t="str"/>
      <x:c r="H95" s="15" t="str"/>
      <x:c r="I95" s="15" t="str"/>
      <x:c r="J95" s="15" t="str"/>
      <x:c r="K95" s="15" t="str"/>
    </x:row>
    <x:row r="96">
      <x:c r="A96" s="15" t="str"/>
      <x:c r="B96" s="15" t="str"/>
      <x:c r="C96" s="15" t="str"/>
      <x:c r="D96" s="15" t="str"/>
      <x:c r="E96" s="15" t="str"/>
      <x:c r="F96" s="15" t="str"/>
      <x:c r="G96" s="15" t="str"/>
      <x:c r="H96" s="15" t="str"/>
      <x:c r="I96" s="15" t="str"/>
      <x:c r="J96" s="15" t="str"/>
      <x:c r="K96" s="15" t="str"/>
    </x:row>
    <x:row r="97">
      <x:c r="A97" s="15" t="str"/>
      <x:c r="B97" s="15" t="str"/>
      <x:c r="C97" s="15" t="str"/>
      <x:c r="D97" s="15" t="str"/>
      <x:c r="E97" s="15" t="str"/>
      <x:c r="F97" s="15" t="str"/>
      <x:c r="G97" s="15" t="str"/>
      <x:c r="H97" s="15" t="str"/>
      <x:c r="I97" s="15" t="str"/>
      <x:c r="J97" s="15" t="str"/>
      <x:c r="K97" s="15" t="str"/>
    </x:row>
    <x:row r="98">
      <x:c r="A98" s="15" t="str"/>
      <x:c r="B98" s="15" t="str"/>
      <x:c r="C98" s="15" t="str"/>
      <x:c r="D98" s="15" t="str"/>
      <x:c r="E98" s="15" t="str"/>
      <x:c r="F98" s="15" t="str"/>
      <x:c r="G98" s="15" t="str"/>
      <x:c r="H98" s="15" t="str"/>
      <x:c r="I98" s="15" t="str"/>
      <x:c r="J98" s="15" t="str"/>
      <x:c r="K98" s="15" t="str"/>
    </x:row>
    <x:row r="99">
      <x:c r="A99" s="15" t="str"/>
      <x:c r="B99" s="15" t="str"/>
      <x:c r="C99" s="15" t="str"/>
      <x:c r="D99" s="15" t="str"/>
      <x:c r="E99" s="15" t="str"/>
      <x:c r="F99" s="15" t="str"/>
      <x:c r="G99" s="15" t="str"/>
      <x:c r="H99" s="15" t="str"/>
      <x:c r="I99" s="15" t="str"/>
      <x:c r="J99" s="15" t="str"/>
      <x:c r="K99" s="15" t="str"/>
    </x:row>
    <x:row r="100">
      <x:c r="A100" s="15" t="str"/>
      <x:c r="B100" s="15" t="str"/>
      <x:c r="C100" s="15" t="str"/>
      <x:c r="D100" s="15" t="str"/>
      <x:c r="E100" s="15" t="str"/>
      <x:c r="F100" s="15" t="str"/>
      <x:c r="G100" s="15" t="str"/>
      <x:c r="H100" s="15" t="str"/>
      <x:c r="I100" s="15" t="str"/>
      <x:c r="J100" s="15" t="str"/>
      <x:c r="K100" s="15" t="str"/>
    </x:row>
    <x:row r="101">
      <x:c r="A101" s="15" t="str"/>
      <x:c r="B101" s="15" t="str"/>
      <x:c r="C101" s="15" t="str"/>
      <x:c r="D101" s="15" t="str"/>
      <x:c r="E101" s="15" t="str"/>
      <x:c r="F101" s="15" t="str"/>
      <x:c r="G101" s="15" t="str"/>
      <x:c r="H101" s="15" t="str"/>
      <x:c r="I101" s="15" t="str"/>
      <x:c r="J101" s="15" t="str"/>
      <x:c r="K101" s="15" t="str"/>
    </x:row>
    <x:row r="102">
      <x:c r="A102" s="15" t="str"/>
      <x:c r="B102" s="15" t="str"/>
      <x:c r="C102" s="15" t="str"/>
      <x:c r="D102" s="15" t="str"/>
      <x:c r="E102" s="15" t="str"/>
      <x:c r="F102" s="15" t="str"/>
      <x:c r="G102" s="15" t="str"/>
      <x:c r="H102" s="15" t="str"/>
      <x:c r="I102" s="15" t="str"/>
      <x:c r="J102" s="15" t="str"/>
      <x:c r="K102" s="15" t="str"/>
    </x:row>
    <x:row r="103">
      <x:c r="A103" s="15" t="str"/>
      <x:c r="B103" s="15" t="str"/>
      <x:c r="C103" s="15" t="str"/>
      <x:c r="D103" s="15" t="str"/>
      <x:c r="E103" s="15" t="str"/>
      <x:c r="F103" s="15" t="str"/>
      <x:c r="G103" s="15" t="str"/>
      <x:c r="H103" s="15" t="str"/>
      <x:c r="I103" s="15" t="str"/>
      <x:c r="J103" s="15" t="str"/>
      <x:c r="K103" s="15" t="str"/>
    </x:row>
    <x:row r="104">
      <x:c r="A104" s="15" t="str"/>
      <x:c r="B104" s="15" t="str"/>
      <x:c r="C104" s="15" t="str"/>
      <x:c r="D104" s="15" t="str"/>
      <x:c r="E104" s="15" t="str"/>
      <x:c r="F104" s="15" t="str"/>
      <x:c r="G104" s="15" t="str"/>
      <x:c r="H104" s="15" t="str"/>
      <x:c r="I104" s="15" t="str"/>
      <x:c r="J104" s="15" t="str"/>
      <x:c r="K104" s="15" t="str"/>
    </x:row>
  </x:sheetData>
  <x:mergeCells>
    <x:mergeCell ref="A1:K1"/>
    <x:mergeCell ref="A2:K2"/>
  </x:mergeCells>
  <x:conditionalFormatting sqref="F5:F104">
    <x:cfRule type="containsText" dxfId="103" priority="1" operator="containsText" text="Complete"/>
    <x:cfRule type="containsText" dxfId="104" priority="2" operator="containsText" text="Blocked"/>
    <x:cfRule type="containsText" dxfId="105" priority="3" operator="containsText" text="At Risk"/>
    <x:cfRule type="containsText" dxfId="106" priority="4" operator="containsText" text="In Progress"/>
  </x:conditionalFormatting>
  <x:conditionalFormatting sqref="J5:J104">
    <x:cfRule type="containsText" dxfId="107" priority="5" operator="containsText" text="Green"/>
    <x:cfRule type="containsText" dxfId="108" priority="6" operator="containsText" text="Yellow"/>
    <x:cfRule type="containsText" dxfId="109" priority="7" operator="containsText" text="Red"/>
  </x:conditionalFormatting>
  <x:dataValidations count="4">
    <x:dataValidation type="list" sqref="D5:D104">
      <x:formula1>'Assumptions'!$O$27:$O$39</x:formula1>
    </x:dataValidation>
    <x:dataValidation type="list" sqref="E5:E104">
      <x:formula1>'Assumptions'!$Q$27:$Q$34</x:formula1>
    </x:dataValidation>
    <x:dataValidation type="list" sqref="F5:F104">
      <x:formula1>'Assumptions'!$U$27:$U$34</x:formula1>
    </x:dataValidation>
    <x:dataValidation type="list" sqref="J5:J104">
      <x:formula1>'Assumptions'!$S$27:$S$29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ea585a013c430e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3" hidden="0" customWidth="1"/>
    <x:col min="9" max="9" width="24" hidden="0" customWidth="1"/>
    <x:col min="10" max="10" width="18" hidden="0" customWidth="1"/>
    <x:col min="11" max="11" width="24" hidden="0" customWidth="1"/>
    <x:col min="12" max="12" width="3" hidden="0" customWidth="1"/>
    <x:col min="13" max="13" width="22" hidden="0" customWidth="1"/>
    <x:col min="14" max="14" width="3" hidden="0" customWidth="1"/>
    <x:col min="15" max="15" width="18" hidden="0" customWidth="1"/>
    <x:col min="16" max="16" width="3" hidden="0" customWidth="1"/>
    <x:col min="17" max="17" width="18" hidden="0" customWidth="1"/>
    <x:col min="18" max="18" width="3" hidden="0" customWidth="1"/>
    <x:col min="19" max="19" width="12" hidden="0" customWidth="1"/>
    <x:col min="20" max="20" width="3" hidden="0" customWidth="1"/>
    <x:col min="21" max="21" width="18" hidden="0" customWidth="1"/>
    <x:col min="22" max="22" width="3" hidden="0" customWidth="1"/>
    <x:col min="23" max="23" width="22" hidden="0" customWidth="1"/>
    <x:col min="24" max="24" width="3" hidden="0" customWidth="1"/>
    <x:col min="25" max="25" width="20" hidden="0" customWidth="1"/>
    <x:col min="26" max="26" width="3" hidden="0" customWidth="1"/>
    <x:col min="27" max="27" width="18" hidden="0" customWidth="1"/>
  </x:cols>
  <x:sheetData>
    <x:row r="1" ht="30" customHeight="1">
      <x:c r="A1" s="38" t="str">
        <x:v>Estimate Assumptions</x:v>
      </x:c>
      <x:c r="B1" s="38" t="str">
        <x:v>Estimate Assumptions</x:v>
      </x:c>
      <x:c r="C1" s="38" t="str">
        <x:v>Estimate Assumptions</x:v>
      </x:c>
      <x:c r="D1" s="38" t="str">
        <x:v>Estimate Assumptions</x:v>
      </x:c>
      <x:c r="E1" s="38" t="str">
        <x:v>Estimate Assumptions</x:v>
      </x:c>
      <x:c r="F1" s="38" t="str">
        <x:v>Estimate Assumptions</x:v>
      </x:c>
      <x:c r="G1" s="38" t="str">
        <x:v>Estimate Assumptions</x:v>
      </x:c>
      <x:c r="H1" s="38" t="str">
        <x:v>Estimate Assumptions</x:v>
      </x:c>
      <x:c r="I1" s="38" t="str">
        <x:v>Estimate Assumptions</x:v>
      </x:c>
      <x:c r="J1" s="38" t="str">
        <x:v>Estimate Assumptions</x:v>
      </x:c>
      <x:c r="K1" s="38" t="str">
        <x:v>Estimate Assumptions</x:v>
      </x:c>
      <x:c r="L1" s="38" t="str">
        <x:v>Estimate Assumptions</x:v>
      </x:c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</x:row>
    <x:row r="2" ht="34" customHeight="1">
      <x:c r="A2" s="39" t="str">
        <x:v>Edit these tables to change default duration calculations across the workbook.</x:v>
      </x:c>
      <x:c r="B2" s="39" t="str">
        <x:v>Edit these tables to change default duration calculations across the workbook.</x:v>
      </x:c>
      <x:c r="C2" s="39" t="str">
        <x:v>Edit these tables to change default duration calculations across the workbook.</x:v>
      </x:c>
      <x:c r="D2" s="39" t="str">
        <x:v>Edit these tables to change default duration calculations across the workbook.</x:v>
      </x:c>
      <x:c r="E2" s="39" t="str">
        <x:v>Edit these tables to change default duration calculations across the workbook.</x:v>
      </x:c>
      <x:c r="F2" s="39" t="str">
        <x:v>Edit these tables to change default duration calculations across the workbook.</x:v>
      </x:c>
      <x:c r="G2" s="39" t="str">
        <x:v>Edit these tables to change default duration calculations across the workbook.</x:v>
      </x:c>
      <x:c r="H2" s="39" t="str">
        <x:v>Edit these tables to change default duration calculations across the workbook.</x:v>
      </x:c>
      <x:c r="I2" s="39" t="str">
        <x:v>Edit these tables to change default duration calculations across the workbook.</x:v>
      </x:c>
      <x:c r="J2" s="39" t="str">
        <x:v>Edit these tables to change default duration calculations across the workbook.</x:v>
      </x:c>
      <x:c r="K2" s="39" t="str">
        <x:v>Edit these tables to change default duration calculations across the workbook.</x:v>
      </x:c>
      <x:c r="L2" s="39" t="str">
        <x:v>Edit these tables to change default duration calculations across the workbook.</x:v>
      </x:c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  <x:c r="AA2" s="40"/>
    </x:row>
    <x:row r="3">
      <x:c r="A3" s="40"/>
      <x:c r="B3" s="40"/>
      <x:c r="C3" s="40"/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  <x:c r="AA3" s="40"/>
    </x:row>
    <x:row r="4" ht="34" customHeight="1">
      <x:c r="A4" s="44" t="str">
        <x:v>Task Type</x:v>
      </x:c>
      <x:c r="B4" s="44" t="str">
        <x:v>Category</x:v>
      </x:c>
      <x:c r="C4" s="44" t="str">
        <x:v>Owner Type</x:v>
      </x:c>
      <x:c r="D4" s="44" t="str">
        <x:v>Low</x:v>
      </x:c>
      <x:c r="E4" s="44" t="str">
        <x:v>Medium</x:v>
      </x:c>
      <x:c r="F4" s="44" t="str">
        <x:v>High</x:v>
      </x:c>
      <x:c r="G4" s="44" t="str">
        <x:v>Unknown</x:v>
      </x:c>
      <x:c r="H4" s="40"/>
      <x:c r="I4" s="44" t="str">
        <x:v>Dependency Type</x:v>
      </x:c>
      <x:c r="J4" s="44" t="str">
        <x:v>Default Lead Time Days</x:v>
      </x:c>
      <x:c r="K4" s="44" t="str">
        <x:v>Default Owning Team</x:v>
      </x:c>
      <x:c r="L4" s="40"/>
      <x:c r="M4" s="46" t="str">
        <x:v>Holiday / Nonwork Dates</x:v>
      </x:c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  <x:c r="AA4" s="40"/>
    </x:row>
    <x:row r="5">
      <x:c r="A5" s="15" t="str">
        <x:v>Application Inventory</x:v>
      </x:c>
      <x:c r="B5" s="15" t="str">
        <x:v>Planning</x:v>
      </x:c>
      <x:c r="C5" s="15" t="str">
        <x:v>CVIS</x:v>
      </x:c>
      <x:c r="D5" s="19" t="n">
        <x:v>3</x:v>
      </x:c>
      <x:c r="E5" s="19" t="n">
        <x:v>5</x:v>
      </x:c>
      <x:c r="F5" s="19" t="n">
        <x:v>8</x:v>
      </x:c>
      <x:c r="G5" s="19" t="n">
        <x:v>5</x:v>
      </x:c>
      <x:c r="H5" s="40"/>
      <x:c r="I5" s="15" t="str">
        <x:v>None</x:v>
      </x:c>
      <x:c r="J5" s="19" t="n">
        <x:v>0</x:v>
      </x:c>
      <x:c r="K5" s="15" t="str"/>
      <x:c r="L5" s="40"/>
      <x:c r="M5" s="47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  <x:c r="AA5" s="40"/>
    </x:row>
    <x:row r="6">
      <x:c r="A6" s="15" t="str">
        <x:v>Discovery</x:v>
      </x:c>
      <x:c r="B6" s="15" t="str">
        <x:v>Planning</x:v>
      </x:c>
      <x:c r="C6" s="15" t="str">
        <x:v>CVIS</x:v>
      </x:c>
      <x:c r="D6" s="19" t="n">
        <x:v>2</x:v>
      </x:c>
      <x:c r="E6" s="19" t="n">
        <x:v>4</x:v>
      </x:c>
      <x:c r="F6" s="19" t="n">
        <x:v>7</x:v>
      </x:c>
      <x:c r="G6" s="19" t="n">
        <x:v>5</x:v>
      </x:c>
      <x:c r="H6" s="40"/>
      <x:c r="I6" s="15" t="str">
        <x:v>Internal CVIS</x:v>
      </x:c>
      <x:c r="J6" s="19" t="n">
        <x:v>3</x:v>
      </x:c>
      <x:c r="K6" s="15" t="str">
        <x:v>CVIS</x:v>
      </x:c>
      <x:c r="L6" s="40"/>
      <x:c r="M6" s="47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  <x:c r="AA6" s="40"/>
    </x:row>
    <x:row r="7">
      <x:c r="A7" s="15" t="str">
        <x:v>Code Analysis</x:v>
      </x:c>
      <x:c r="B7" s="15" t="str">
        <x:v>Planning</x:v>
      </x:c>
      <x:c r="C7" s="15" t="str">
        <x:v>CVIS</x:v>
      </x:c>
      <x:c r="D7" s="19" t="n">
        <x:v>2</x:v>
      </x:c>
      <x:c r="E7" s="19" t="n">
        <x:v>4</x:v>
      </x:c>
      <x:c r="F7" s="19" t="n">
        <x:v>7</x:v>
      </x:c>
      <x:c r="G7" s="19" t="n">
        <x:v>5</x:v>
      </x:c>
      <x:c r="H7" s="40"/>
      <x:c r="I7" s="15" t="str">
        <x:v>Architecture</x:v>
      </x:c>
      <x:c r="J7" s="19" t="n">
        <x:v>7</x:v>
      </x:c>
      <x:c r="K7" s="15" t="str">
        <x:v>Architecture</x:v>
      </x:c>
      <x:c r="L7" s="40"/>
      <x:c r="M7" s="47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  <x:c r="AA7" s="40"/>
    </x:row>
    <x:row r="8">
      <x:c r="A8" s="15" t="str">
        <x:v>NFR Documentation</x:v>
      </x:c>
      <x:c r="B8" s="15" t="str">
        <x:v>Governance</x:v>
      </x:c>
      <x:c r="C8" s="15" t="str">
        <x:v>CVIS</x:v>
      </x:c>
      <x:c r="D8" s="19" t="n">
        <x:v>2</x:v>
      </x:c>
      <x:c r="E8" s="19" t="n">
        <x:v>4</x:v>
      </x:c>
      <x:c r="F8" s="19" t="n">
        <x:v>6</x:v>
      </x:c>
      <x:c r="G8" s="19" t="n">
        <x:v>4</x:v>
      </x:c>
      <x:c r="H8" s="40"/>
      <x:c r="I8" s="15" t="str">
        <x:v>Security</x:v>
      </x:c>
      <x:c r="J8" s="19" t="n">
        <x:v>10</x:v>
      </x:c>
      <x:c r="K8" s="15" t="str">
        <x:v>Security</x:v>
      </x:c>
      <x:c r="L8" s="40"/>
      <x:c r="M8" s="47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  <x:c r="AA8" s="40"/>
    </x:row>
    <x:row r="9">
      <x:c r="A9" s="15" t="str">
        <x:v>Architecture Review Prep</x:v>
      </x:c>
      <x:c r="B9" s="15" t="str">
        <x:v>Governance</x:v>
      </x:c>
      <x:c r="C9" s="15" t="str">
        <x:v>CVIS</x:v>
      </x:c>
      <x:c r="D9" s="19" t="n">
        <x:v>2</x:v>
      </x:c>
      <x:c r="E9" s="19" t="n">
        <x:v>3</x:v>
      </x:c>
      <x:c r="F9" s="19" t="n">
        <x:v>5</x:v>
      </x:c>
      <x:c r="G9" s="19" t="n">
        <x:v>3</x:v>
      </x:c>
      <x:c r="H9" s="40"/>
      <x:c r="I9" s="15" t="str">
        <x:v>Platform / Containers</x:v>
      </x:c>
      <x:c r="J9" s="19" t="n">
        <x:v>10</x:v>
      </x:c>
      <x:c r="K9" s="15" t="str">
        <x:v>Platform Team</x:v>
      </x:c>
      <x:c r="L9" s="40"/>
      <x:c r="M9" s="47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  <x:c r="AA9" s="40"/>
    </x:row>
    <x:row r="10">
      <x:c r="A10" s="15" t="str">
        <x:v>Unity Pattern Mapping</x:v>
      </x:c>
      <x:c r="B10" s="15" t="str">
        <x:v>Design</x:v>
      </x:c>
      <x:c r="C10" s="15" t="str">
        <x:v>CVIS</x:v>
      </x:c>
      <x:c r="D10" s="19" t="n">
        <x:v>3</x:v>
      </x:c>
      <x:c r="E10" s="19" t="n">
        <x:v>5</x:v>
      </x:c>
      <x:c r="F10" s="19" t="n">
        <x:v>8</x:v>
      </x:c>
      <x:c r="G10" s="19" t="n">
        <x:v>5</x:v>
      </x:c>
      <x:c r="H10" s="40"/>
      <x:c r="I10" s="15" t="str">
        <x:v>Apigee / API</x:v>
      </x:c>
      <x:c r="J10" s="19" t="n">
        <x:v>10</x:v>
      </x:c>
      <x:c r="K10" s="15" t="str">
        <x:v>API Team</x:v>
      </x:c>
      <x:c r="L10" s="40"/>
      <x:c r="M10" s="47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  <x:c r="AA10" s="40"/>
    </x:row>
    <x:row r="11">
      <x:c r="A11" s="15" t="str">
        <x:v>Data Mapping / Cleanup</x:v>
      </x:c>
      <x:c r="B11" s="15" t="str">
        <x:v>Design</x:v>
      </x:c>
      <x:c r="C11" s="15" t="str">
        <x:v>CVIS</x:v>
      </x:c>
      <x:c r="D11" s="19" t="n">
        <x:v>3</x:v>
      </x:c>
      <x:c r="E11" s="19" t="n">
        <x:v>6</x:v>
      </x:c>
      <x:c r="F11" s="19" t="n">
        <x:v>10</x:v>
      </x:c>
      <x:c r="G11" s="19" t="n">
        <x:v>6</x:v>
      </x:c>
      <x:c r="H11" s="40"/>
      <x:c r="I11" s="15" t="str">
        <x:v>Devin</x:v>
      </x:c>
      <x:c r="J11" s="19" t="n">
        <x:v>5</x:v>
      </x:c>
      <x:c r="K11" s="15" t="str">
        <x:v>Development Platform Team</x:v>
      </x:c>
      <x:c r="L11" s="40"/>
      <x:c r="M11" s="47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  <x:c r="AA11" s="40"/>
    </x:row>
    <x:row r="12">
      <x:c r="A12" s="15" t="str">
        <x:v>Build / Refactor</x:v>
      </x:c>
      <x:c r="B12" s="15" t="str">
        <x:v>Engineering</x:v>
      </x:c>
      <x:c r="C12" s="15" t="str">
        <x:v>CVIS</x:v>
      </x:c>
      <x:c r="D12" s="19" t="n">
        <x:v>5</x:v>
      </x:c>
      <x:c r="E12" s="19" t="n">
        <x:v>10</x:v>
      </x:c>
      <x:c r="F12" s="19" t="n">
        <x:v>20</x:v>
      </x:c>
      <x:c r="G12" s="19" t="n">
        <x:v>10</x:v>
      </x:c>
      <x:c r="H12" s="40"/>
      <x:c r="I12" s="15" t="str">
        <x:v>Kafka</x:v>
      </x:c>
      <x:c r="J12" s="19" t="n">
        <x:v>10</x:v>
      </x:c>
      <x:c r="K12" s="15" t="str">
        <x:v>Kafka Team</x:v>
      </x:c>
      <x:c r="L12" s="40"/>
      <x:c r="M12" s="47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  <x:c r="AA12" s="40"/>
    </x:row>
    <x:row r="13">
      <x:c r="A13" s="15" t="str">
        <x:v>Unit Test Generation</x:v>
      </x:c>
      <x:c r="B13" s="15" t="str">
        <x:v>Testing</x:v>
      </x:c>
      <x:c r="C13" s="15" t="str">
        <x:v>CVIS</x:v>
      </x:c>
      <x:c r="D13" s="19" t="n">
        <x:v>2</x:v>
      </x:c>
      <x:c r="E13" s="19" t="n">
        <x:v>4</x:v>
      </x:c>
      <x:c r="F13" s="19" t="n">
        <x:v>6</x:v>
      </x:c>
      <x:c r="G13" s="19" t="n">
        <x:v>4</x:v>
      </x:c>
      <x:c r="H13" s="40"/>
      <x:c r="I13" s="15" t="str">
        <x:v>Splunk</x:v>
      </x:c>
      <x:c r="J13" s="19" t="n">
        <x:v>7</x:v>
      </x:c>
      <x:c r="K13" s="15" t="str">
        <x:v>Splunk Team</x:v>
      </x:c>
      <x:c r="L13" s="40"/>
      <x:c r="M13" s="47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  <x:c r="AA13" s="40"/>
    </x:row>
    <x:row r="14">
      <x:c r="A14" s="15" t="str">
        <x:v>Integration Testing</x:v>
      </x:c>
      <x:c r="B14" s="15" t="str">
        <x:v>Testing</x:v>
      </x:c>
      <x:c r="C14" s="15" t="str">
        <x:v>CVIS</x:v>
      </x:c>
      <x:c r="D14" s="19" t="n">
        <x:v>3</x:v>
      </x:c>
      <x:c r="E14" s="19" t="n">
        <x:v>6</x:v>
      </x:c>
      <x:c r="F14" s="19" t="n">
        <x:v>10</x:v>
      </x:c>
      <x:c r="G14" s="19" t="n">
        <x:v>6</x:v>
      </x:c>
      <x:c r="H14" s="40"/>
      <x:c r="I14" s="15" t="str">
        <x:v>Harness</x:v>
      </x:c>
      <x:c r="J14" s="19" t="n">
        <x:v>7</x:v>
      </x:c>
      <x:c r="K14" s="15" t="str">
        <x:v>Harness / EPL-X Team</x:v>
      </x:c>
      <x:c r="L14" s="40"/>
      <x:c r="M14" s="47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  <x:c r="AA14" s="40"/>
    </x:row>
    <x:row r="15">
      <x:c r="A15" s="15" t="str">
        <x:v>CyberArk Test Validation</x:v>
      </x:c>
      <x:c r="B15" s="15" t="str">
        <x:v>Testing</x:v>
      </x:c>
      <x:c r="C15" s="15" t="str">
        <x:v>CVIS</x:v>
      </x:c>
      <x:c r="D15" s="19" t="n">
        <x:v>2</x:v>
      </x:c>
      <x:c r="E15" s="19" t="n">
        <x:v>5</x:v>
      </x:c>
      <x:c r="F15" s="19" t="n">
        <x:v>8</x:v>
      </x:c>
      <x:c r="G15" s="19" t="n">
        <x:v>5</x:v>
      </x:c>
      <x:c r="H15" s="40"/>
      <x:c r="I15" s="15" t="str">
        <x:v>HyperExecute</x:v>
      </x:c>
      <x:c r="J15" s="19" t="n">
        <x:v>7</x:v>
      </x:c>
      <x:c r="K15" s="15" t="str">
        <x:v>Automated Testing Team</x:v>
      </x:c>
      <x:c r="L15" s="40"/>
      <x:c r="M15" s="47" t="n">
        <x:v>46352</x:v>
      </x:c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  <x:c r="AA15" s="40"/>
    </x:row>
    <x:row r="16">
      <x:c r="A16" s="15" t="str">
        <x:v>Container Onboarding</x:v>
      </x:c>
      <x:c r="B16" s="15" t="str">
        <x:v>External Dependency</x:v>
      </x:c>
      <x:c r="C16" s="15" t="str">
        <x:v>Platform Team</x:v>
      </x:c>
      <x:c r="D16" s="19" t="n">
        <x:v>5</x:v>
      </x:c>
      <x:c r="E16" s="19" t="n">
        <x:v>10</x:v>
      </x:c>
      <x:c r="F16" s="19" t="n">
        <x:v>15</x:v>
      </x:c>
      <x:c r="G16" s="19" t="n">
        <x:v>10</x:v>
      </x:c>
      <x:c r="H16" s="40"/>
      <x:c r="I16" s="15" t="str">
        <x:v>CyberArk Access</x:v>
      </x:c>
      <x:c r="J16" s="19" t="n">
        <x:v>5</x:v>
      </x:c>
      <x:c r="K16" s="15" t="str">
        <x:v>CyberArk Team</x:v>
      </x:c>
      <x:c r="L16" s="40"/>
      <x:c r="M16" s="47" t="n">
        <x:v>46353</x:v>
      </x:c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  <x:c r="AA16" s="40"/>
    </x:row>
    <x:row r="17">
      <x:c r="A17" s="15" t="str">
        <x:v>Apigee Onboarding</x:v>
      </x:c>
      <x:c r="B17" s="15" t="str">
        <x:v>External Dependency</x:v>
      </x:c>
      <x:c r="C17" s="15" t="str">
        <x:v>API Team</x:v>
      </x:c>
      <x:c r="D17" s="19" t="n">
        <x:v>5</x:v>
      </x:c>
      <x:c r="E17" s="19" t="n">
        <x:v>10</x:v>
      </x:c>
      <x:c r="F17" s="19" t="n">
        <x:v>15</x:v>
      </x:c>
      <x:c r="G17" s="19" t="n">
        <x:v>10</x:v>
      </x:c>
      <x:c r="H17" s="40"/>
      <x:c r="I17" s="15" t="str">
        <x:v>CyberArk DEV</x:v>
      </x:c>
      <x:c r="J17" s="19" t="n">
        <x:v>5</x:v>
      </x:c>
      <x:c r="K17" s="15" t="str">
        <x:v>CyberArk Team</x:v>
      </x:c>
      <x:c r="L17" s="40"/>
      <x:c r="M17" s="47" t="n">
        <x:v>46380</x:v>
      </x:c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  <x:c r="AA17" s="40"/>
    </x:row>
    <x:row r="18">
      <x:c r="A18" s="15" t="str">
        <x:v>Security Review</x:v>
      </x:c>
      <x:c r="B18" s="15" t="str">
        <x:v>External Dependency</x:v>
      </x:c>
      <x:c r="C18" s="15" t="str">
        <x:v>Security</x:v>
      </x:c>
      <x:c r="D18" s="19" t="n">
        <x:v>5</x:v>
      </x:c>
      <x:c r="E18" s="19" t="n">
        <x:v>10</x:v>
      </x:c>
      <x:c r="F18" s="19" t="n">
        <x:v>20</x:v>
      </x:c>
      <x:c r="G18" s="19" t="n">
        <x:v>10</x:v>
      </x:c>
      <x:c r="H18" s="40"/>
      <x:c r="I18" s="15" t="str">
        <x:v>Environment Accounts</x:v>
      </x:c>
      <x:c r="J18" s="19" t="n">
        <x:v>5</x:v>
      </x:c>
      <x:c r="K18" s="15" t="str">
        <x:v>Environment / Access Team</x:v>
      </x:c>
      <x:c r="L18" s="40"/>
      <x:c r="M18" s="47" t="n">
        <x:v>46381</x:v>
      </x:c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  <x:c r="AA18" s="40"/>
    </x:row>
    <x:row r="19">
      <x:c r="A19" s="15" t="str">
        <x:v>Architecture Approval</x:v>
      </x:c>
      <x:c r="B19" s="15" t="str">
        <x:v>External Dependency</x:v>
      </x:c>
      <x:c r="C19" s="15" t="str">
        <x:v>Architecture</x:v>
      </x:c>
      <x:c r="D19" s="19" t="n">
        <x:v>3</x:v>
      </x:c>
      <x:c r="E19" s="19" t="n">
        <x:v>7</x:v>
      </x:c>
      <x:c r="F19" s="19" t="n">
        <x:v>15</x:v>
      </x:c>
      <x:c r="G19" s="19" t="n">
        <x:v>7</x:v>
      </x:c>
      <x:c r="H19" s="40"/>
      <x:c r="I19" s="15" t="str">
        <x:v>ServiceNow</x:v>
      </x:c>
      <x:c r="J19" s="19" t="n">
        <x:v>7</x:v>
      </x:c>
      <x:c r="K19" s="15" t="str">
        <x:v>ServiceNow Team</x:v>
      </x:c>
      <x:c r="L19" s="40"/>
      <x:c r="M19" s="47" t="n">
        <x:v>46387</x:v>
      </x:c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  <x:c r="AA19" s="40"/>
    </x:row>
    <x:row r="20">
      <x:c r="A20" s="15" t="str">
        <x:v>Release Readiness</x:v>
      </x:c>
      <x:c r="B20" s="15" t="str">
        <x:v>Release</x:v>
      </x:c>
      <x:c r="C20" s="15" t="str">
        <x:v>CVIS</x:v>
      </x:c>
      <x:c r="D20" s="19" t="n">
        <x:v>2</x:v>
      </x:c>
      <x:c r="E20" s="19" t="n">
        <x:v>4</x:v>
      </x:c>
      <x:c r="F20" s="19" t="n">
        <x:v>6</x:v>
      </x:c>
      <x:c r="G20" s="19" t="n">
        <x:v>4</x:v>
      </x:c>
      <x:c r="H20" s="40"/>
      <x:c r="I20" s="15" t="str">
        <x:v>Environment</x:v>
      </x:c>
      <x:c r="J20" s="19" t="n">
        <x:v>7</x:v>
      </x:c>
      <x:c r="K20" s="15" t="str">
        <x:v>Infrastructure</x:v>
      </x:c>
      <x:c r="L20" s="40"/>
      <x:c r="M20" s="47" t="n">
        <x:v>46388</x:v>
      </x:c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  <x:c r="AA20" s="40"/>
    </x:row>
    <x:row r="21">
      <x:c r="A21" s="15" t="str">
        <x:v>Production Deployment</x:v>
      </x:c>
      <x:c r="B21" s="15" t="str">
        <x:v>Release</x:v>
      </x:c>
      <x:c r="C21" s="15" t="str">
        <x:v>CVIS / Platform</x:v>
      </x:c>
      <x:c r="D21" s="19" t="n">
        <x:v>1</x:v>
      </x:c>
      <x:c r="E21" s="19" t="n">
        <x:v>2</x:v>
      </x:c>
      <x:c r="F21" s="19" t="n">
        <x:v>4</x:v>
      </x:c>
      <x:c r="G21" s="19" t="n">
        <x:v>2</x:v>
      </x:c>
      <x:c r="H21" s="40"/>
      <x:c r="I21" s="15" t="str">
        <x:v>Database</x:v>
      </x:c>
      <x:c r="J21" s="19" t="n">
        <x:v>5</x:v>
      </x:c>
      <x:c r="K21" s="15" t="str">
        <x:v>Database / Consumer Teams</x:v>
      </x:c>
      <x:c r="L21" s="40"/>
      <x:c r="M21" s="47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  <x:c r="AA21" s="40"/>
    </x:row>
    <x:row r="22">
      <x:c r="A22" s="15" t="str">
        <x:v>Stakeholder Sign-off</x:v>
      </x:c>
      <x:c r="B22" s="15" t="str">
        <x:v>Governance</x:v>
      </x:c>
      <x:c r="C22" s="15" t="str">
        <x:v>Business / Leadership</x:v>
      </x:c>
      <x:c r="D22" s="19" t="n">
        <x:v>2</x:v>
      </x:c>
      <x:c r="E22" s="19" t="n">
        <x:v>5</x:v>
      </x:c>
      <x:c r="F22" s="19" t="n">
        <x:v>10</x:v>
      </x:c>
      <x:c r="G22" s="19" t="n">
        <x:v>5</x:v>
      </x:c>
      <x:c r="H22" s="40"/>
      <x:c r="I22" s="15" t="str">
        <x:v>Decision / Approval</x:v>
      </x:c>
      <x:c r="J22" s="15" t="n">
        <x:v>5</x:v>
      </x:c>
      <x:c r="K22" s="15" t="str">
        <x:v>Leadership</x:v>
      </x:c>
      <x:c r="L22" s="40"/>
      <x:c r="M22" s="47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  <x:c r="AA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7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  <x:c r="AA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7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  <x:c r="AA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  <x:c r="AA25" s="40"/>
    </x:row>
    <x:row r="26">
      <x:c r="A26" s="48" t="str">
        <x:v>Workstreams</x:v>
      </x:c>
      <x:c r="B26" s="48"/>
      <x:c r="C26" s="48" t="str">
        <x:v>Statuses</x:v>
      </x:c>
      <x:c r="D26" s="48"/>
      <x:c r="E26" s="48" t="str">
        <x:v>Complexity</x:v>
      </x:c>
      <x:c r="F26" s="48"/>
      <x:c r="G26" s="48" t="str">
        <x:v>Priority</x:v>
      </x:c>
      <x:c r="H26" s="48"/>
      <x:c r="I26" s="48" t="str">
        <x:v>Modernization Path</x:v>
      </x:c>
      <x:c r="J26" s="48"/>
      <x:c r="K26" s="48" t="str">
        <x:v>App Types</x:v>
      </x:c>
      <x:c r="L26" s="48"/>
      <x:c r="M26" s="48"/>
      <x:c r="N26" s="48"/>
      <x:c r="O26" s="48" t="str">
        <x:v>Areas</x:v>
      </x:c>
      <x:c r="P26" s="48"/>
      <x:c r="Q26" s="48" t="str">
        <x:v>Environments</x:v>
      </x:c>
      <x:c r="R26" s="48"/>
      <x:c r="S26" s="48" t="str">
        <x:v>R/Y/G</x:v>
      </x:c>
      <x:c r="T26" s="48"/>
      <x:c r="U26" s="48" t="str">
        <x:v>Request Status</x:v>
      </x:c>
      <x:c r="V26" s="48"/>
      <x:c r="W26" s="48" t="str">
        <x:v>Ticket Coverage</x:v>
      </x:c>
      <x:c r="X26" s="48"/>
      <x:c r="Y26" s="48" t="str">
        <x:v>Estimate Confidence</x:v>
      </x:c>
      <x:c r="Z26" s="48"/>
      <x:c r="AA26" s="48" t="str">
        <x:v>Ticket Type</x:v>
      </x:c>
    </x:row>
    <x:row r="27">
      <x:c r="A27" s="40" t="str">
        <x:v>Application Inventory</x:v>
      </x:c>
      <x:c r="B27" s="40"/>
      <x:c r="C27" s="40" t="str">
        <x:v>Not Started</x:v>
      </x:c>
      <x:c r="D27" s="40"/>
      <x:c r="E27" s="40" t="str">
        <x:v>Low</x:v>
      </x:c>
      <x:c r="F27" s="40"/>
      <x:c r="G27" s="40" t="str">
        <x:v>P1</x:v>
      </x:c>
      <x:c r="H27" s="40"/>
      <x:c r="I27" s="40" t="str">
        <x:v>Rewrite</x:v>
      </x:c>
      <x:c r="J27" s="40"/>
      <x:c r="K27" s="40" t="str">
        <x:v>Console</x:v>
      </x:c>
      <x:c r="L27" s="40"/>
      <x:c r="M27" s="40"/>
      <x:c r="N27" s="40"/>
      <x:c r="O27" s="40" t="str">
        <x:v>DCMS</x:v>
      </x:c>
      <x:c r="P27" s="40"/>
      <x:c r="Q27" s="40" t="str">
        <x:v>DEV</x:v>
      </x:c>
      <x:c r="R27" s="40"/>
      <x:c r="S27" s="40" t="str">
        <x:v>Green</x:v>
      </x:c>
      <x:c r="T27" s="40"/>
      <x:c r="U27" s="40" t="str">
        <x:v>To do</x:v>
      </x:c>
      <x:c r="V27" s="40"/>
      <x:c r="W27" s="40" t="str">
        <x:v>Existing Ticket</x:v>
      </x:c>
      <x:c r="X27" s="40"/>
      <x:c r="Y27" s="40" t="str">
        <x:v>None</x:v>
      </x:c>
      <x:c r="Z27" s="40"/>
      <x:c r="AA27" s="40" t="str">
        <x:v>Story</x:v>
      </x:c>
    </x:row>
    <x:row r="28">
      <x:c r="A28" s="40" t="str">
        <x:v>Unity Architecture</x:v>
      </x:c>
      <x:c r="B28" s="40"/>
      <x:c r="C28" s="40" t="str">
        <x:v>In Progress</x:v>
      </x:c>
      <x:c r="D28" s="40"/>
      <x:c r="E28" s="40" t="str">
        <x:v>Medium</x:v>
      </x:c>
      <x:c r="F28" s="40"/>
      <x:c r="G28" s="40" t="str">
        <x:v>P2</x:v>
      </x:c>
      <x:c r="H28" s="40"/>
      <x:c r="I28" s="40" t="str">
        <x:v>Refactor</x:v>
      </x:c>
      <x:c r="J28" s="40"/>
      <x:c r="K28" s="40" t="str">
        <x:v>Service</x:v>
      </x:c>
      <x:c r="L28" s="40"/>
      <x:c r="M28" s="40"/>
      <x:c r="N28" s="40"/>
      <x:c r="O28" s="40" t="str">
        <x:v>Support</x:v>
      </x:c>
      <x:c r="P28" s="40"/>
      <x:c r="Q28" s="40" t="str">
        <x:v>LAB</x:v>
      </x:c>
      <x:c r="R28" s="40"/>
      <x:c r="S28" s="40" t="str">
        <x:v>Yellow</x:v>
      </x:c>
      <x:c r="T28" s="40"/>
      <x:c r="U28" s="40" t="str">
        <x:v>In Progress</x:v>
      </x:c>
      <x:c r="V28" s="40"/>
      <x:c r="W28" s="40" t="str">
        <x:v>Existing But Incomplete</x:v>
      </x:c>
      <x:c r="X28" s="40"/>
      <x:c r="Y28" s="40" t="str">
        <x:v>Low</x:v>
      </x:c>
      <x:c r="Z28" s="40"/>
      <x:c r="AA28" s="40" t="str">
        <x:v>Task</x:v>
      </x:c>
    </x:row>
    <x:row r="29">
      <x:c r="A29" s="40" t="str">
        <x:v>NFRs / Governance</x:v>
      </x:c>
      <x:c r="B29" s="40"/>
      <x:c r="C29" s="40" t="str">
        <x:v>At Risk</x:v>
      </x:c>
      <x:c r="D29" s="40"/>
      <x:c r="E29" s="40" t="str">
        <x:v>High</x:v>
      </x:c>
      <x:c r="F29" s="40"/>
      <x:c r="G29" s="40" t="str">
        <x:v>P3</x:v>
      </x:c>
      <x:c r="H29" s="40"/>
      <x:c r="I29" s="40" t="str">
        <x:v>Retire</x:v>
      </x:c>
      <x:c r="J29" s="40"/>
      <x:c r="K29" s="40" t="str">
        <x:v>Report</x:v>
      </x:c>
      <x:c r="L29" s="40"/>
      <x:c r="M29" s="40"/>
      <x:c r="N29" s="40"/>
      <x:c r="O29" s="40" t="str">
        <x:v>Database</x:v>
      </x:c>
      <x:c r="P29" s="40"/>
      <x:c r="Q29" s="40" t="str">
        <x:v>TEST</x:v>
      </x:c>
      <x:c r="R29" s="40"/>
      <x:c r="S29" s="40" t="str">
        <x:v>Red</x:v>
      </x:c>
      <x:c r="T29" s="40"/>
      <x:c r="U29" s="40" t="str">
        <x:v>On Hold</x:v>
      </x:c>
      <x:c r="V29" s="40"/>
      <x:c r="W29" s="40" t="str">
        <x:v>Missing Ticket</x:v>
      </x:c>
      <x:c r="X29" s="40"/>
      <x:c r="Y29" s="40" t="str">
        <x:v>Medium</x:v>
      </x:c>
      <x:c r="Z29" s="40"/>
      <x:c r="AA29" s="40" t="str">
        <x:v>Sub-task</x:v>
      </x:c>
    </x:row>
    <x:row r="30">
      <x:c r="A30" s="40" t="str">
        <x:v>CyberArk Integration</x:v>
      </x:c>
      <x:c r="B30" s="40"/>
      <x:c r="C30" s="40" t="str">
        <x:v>Blocked</x:v>
      </x:c>
      <x:c r="D30" s="40"/>
      <x:c r="E30" s="40" t="str">
        <x:v>Unknown</x:v>
      </x:c>
      <x:c r="F30" s="40"/>
      <x:c r="G30" s="40" t="str">
        <x:v>P4</x:v>
      </x:c>
      <x:c r="H30" s="40"/>
      <x:c r="I30" s="40" t="str">
        <x:v>Merge into Unity</x:v>
      </x:c>
      <x:c r="J30" s="40"/>
      <x:c r="K30" s="40" t="str">
        <x:v>Onboarding</x:v>
      </x:c>
      <x:c r="L30" s="40"/>
      <x:c r="M30" s="40"/>
      <x:c r="N30" s="40"/>
      <x:c r="O30" s="40" t="str">
        <x:v>Integration</x:v>
      </x:c>
      <x:c r="P30" s="40"/>
      <x:c r="Q30" s="40" t="str">
        <x:v>QA</x:v>
      </x:c>
      <x:c r="R30" s="40"/>
      <x:c r="S30" s="40"/>
      <x:c r="T30" s="40"/>
      <x:c r="U30" s="40" t="str">
        <x:v>Blocked</x:v>
      </x:c>
      <x:c r="V30" s="40"/>
      <x:c r="W30" s="40" t="str">
        <x:v>Needs Split</x:v>
      </x:c>
      <x:c r="X30" s="40"/>
      <x:c r="Y30" s="40" t="str">
        <x:v>High</x:v>
      </x:c>
      <x:c r="Z30" s="40"/>
      <x:c r="AA30" s="40" t="str">
        <x:v>Epic</x:v>
      </x:c>
    </x:row>
    <x:row r="31">
      <x:c r="A31" s="40" t="str">
        <x:v>Container Onboarding</x:v>
      </x:c>
      <x:c r="B31" s="40"/>
      <x:c r="C31" s="40" t="str">
        <x:v>Waiting External</x:v>
      </x:c>
      <x:c r="D31" s="40"/>
      <x:c r="E31" s="40"/>
      <x:c r="F31" s="40"/>
      <x:c r="G31" s="40" t="str">
        <x:v>TBD</x:v>
      </x:c>
      <x:c r="H31" s="40"/>
      <x:c r="I31" s="40" t="str">
        <x:v>Assess First</x:v>
      </x:c>
      <x:c r="J31" s="40"/>
      <x:c r="K31" s="40" t="str">
        <x:v>Migration / Utility</x:v>
      </x:c>
      <x:c r="L31" s="40"/>
      <x:c r="M31" s="40"/>
      <x:c r="N31" s="40"/>
      <x:c r="O31" s="40" t="str">
        <x:v>OCP/Harness</x:v>
      </x:c>
      <x:c r="P31" s="40"/>
      <x:c r="Q31" s="40" t="str">
        <x:v>Non-Prod</x:v>
      </x:c>
      <x:c r="R31" s="40"/>
      <x:c r="S31" s="40"/>
      <x:c r="T31" s="40"/>
      <x:c r="U31" s="40" t="str">
        <x:v>Done</x:v>
      </x:c>
      <x:c r="V31" s="40"/>
      <x:c r="W31" s="40" t="str">
        <x:v>Needs Estimate</x:v>
      </x:c>
      <x:c r="X31" s="40"/>
      <x:c r="Y31" s="40" t="str">
        <x:v>Blocked</x:v>
      </x:c>
      <x:c r="Z31" s="40"/>
      <x:c r="AA31" s="40" t="str">
        <x:v>Bug</x:v>
      </x:c>
    </x:row>
    <x:row r="32">
      <x:c r="A32" s="40" t="str">
        <x:v>Apigee / API Onboarding</x:v>
      </x:c>
      <x:c r="B32" s="40"/>
      <x:c r="C32" s="40" t="str">
        <x:v>Complete</x:v>
      </x:c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 t="str">
        <x:v>Batch</x:v>
      </x:c>
      <x:c r="P32" s="40"/>
      <x:c r="Q32" s="40" t="str">
        <x:v>Prep for Prod</x:v>
      </x:c>
      <x:c r="R32" s="40"/>
      <x:c r="S32" s="40"/>
      <x:c r="T32" s="40"/>
      <x:c r="U32" s="40" t="str">
        <x:v>Waiting External</x:v>
      </x:c>
      <x:c r="V32" s="40"/>
      <x:c r="W32" s="40" t="str">
        <x:v>Blocked by Dependency</x:v>
      </x:c>
      <x:c r="X32" s="40"/>
      <x:c r="Y32" s="40" t="str">
        <x:v>Unknown</x:v>
      </x:c>
      <x:c r="Z32" s="40"/>
      <x:c r="AA32" s="40" t="str">
        <x:v>CAB</x:v>
      </x:c>
    </x:row>
    <x:row r="33">
      <x:c r="A33" s="40" t="str">
        <x:v>Build / Refactor</x:v>
      </x:c>
      <x:c r="B33" s="40"/>
      <x:c r="C33" s="40" t="str">
        <x:v>Deferred</x:v>
      </x:c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 t="str">
        <x:v>Network</x:v>
      </x:c>
      <x:c r="P33" s="40"/>
      <x:c r="Q33" s="40" t="str">
        <x:v>Prod</x:v>
      </x:c>
      <x:c r="R33" s="40"/>
      <x:c r="S33" s="40"/>
      <x:c r="T33" s="40"/>
      <x:c r="U33" s="40" t="str">
        <x:v>Deferred</x:v>
      </x:c>
      <x:c r="V33" s="40"/>
      <x:c r="W33" s="40" t="str">
        <x:v>Source Data Needed</x:v>
      </x:c>
      <x:c r="X33" s="40"/>
      <x:c r="Y33" s="40"/>
      <x:c r="Z33" s="40"/>
      <x:c r="AA33" s="40" t="str">
        <x:v>CHK</x:v>
      </x:c>
    </x:row>
    <x:row r="34">
      <x:c r="A34" s="40" t="str">
        <x:v>Testing / Validation</x:v>
      </x:c>
      <x:c r="B34" s="40"/>
      <x:c r="C34" s="40" t="str">
        <x:v>Cancelled</x:v>
      </x:c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 t="str">
        <x:v>Testing</x:v>
      </x:c>
      <x:c r="P34" s="40"/>
      <x:c r="Q34" s="40" t="str">
        <x:v>DEV/TEST</x:v>
      </x:c>
      <x:c r="R34" s="40"/>
      <x:c r="S34" s="40"/>
      <x:c r="T34" s="40"/>
      <x:c r="U34" s="40" t="str">
        <x:v>Cancelled</x:v>
      </x:c>
      <x:c r="V34" s="40"/>
      <x:c r="W34" s="40"/>
      <x:c r="X34" s="40"/>
      <x:c r="Y34" s="40"/>
      <x:c r="Z34" s="40"/>
      <x:c r="AA34" s="40" t="str">
        <x:v>INC / SEV</x:v>
      </x:c>
    </x:row>
    <x:row r="35">
      <x:c r="A35" s="40" t="str">
        <x:v>Release / Deployment</x:v>
      </x:c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 t="str">
        <x:v>SSO</x:v>
      </x:c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  <x:c r="AA35" s="40"/>
    </x:row>
    <x:row r="36">
      <x:c r="A36" s="40" t="str">
        <x:v>Management Reporting</x:v>
      </x:c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 t="str">
        <x:v>CyberArk</x:v>
      </x:c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  <x:c r="AA36" s="40"/>
    </x:row>
    <x:row r="37">
      <x:c r="A37" s="40" t="str">
        <x:v>Database</x:v>
      </x:c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 t="str">
        <x:v>ServiceNow</x:v>
      </x:c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  <x:c r="AA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 t="str">
        <x:v>API</x:v>
      </x:c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  <x:c r="AA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 t="str">
        <x:v>Containers</x:v>
      </x:c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  <x:c r="AA39" s="40"/>
    </x:row>
  </x:sheetData>
  <x:mergeCells>
    <x:mergeCell ref="A1:L1"/>
    <x:mergeCell ref="A2:L2"/>
  </x:mergeCells>
  <x:pageMargins left="0.7" right="0.7" top="0.75" bottom="0.75" header="0.3" footer="0.3"/>
  <x:tableParts count="2">
    <x:tablePart xmlns:r="http://schemas.openxmlformats.org/officeDocument/2006/relationships" r:id="R30140fa1a10f40d7"/>
    <x:tablePart xmlns:r="http://schemas.openxmlformats.org/officeDocument/2006/relationships" r:id="R119ae10c4b354715"/>
  </x:tableParts>
</x:worksheet>
</file>